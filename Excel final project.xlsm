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harts/chartEx2.xml" ContentType="application/vnd.ms-office.chartex+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C:\Users\Sam\Downloads\"/>
    </mc:Choice>
  </mc:AlternateContent>
  <xr:revisionPtr revIDLastSave="0" documentId="13_ncr:1_{280083F9-1ABD-4C27-BB46-8C4D236F5175}" xr6:coauthVersionLast="47" xr6:coauthVersionMax="47" xr10:uidLastSave="{00000000-0000-0000-0000-000000000000}"/>
  <bookViews>
    <workbookView xWindow="-110" yWindow="-110" windowWidth="19420" windowHeight="11500" xr2:uid="{6C7E27C5-23DD-B143-9A56-E3768F58D8C8}"/>
  </bookViews>
  <sheets>
    <sheet name="Dashboard" sheetId="2" r:id="rId1"/>
    <sheet name="Quality of Life" sheetId="1" state="hidden" r:id="rId2"/>
    <sheet name="CostofLiving" sheetId="9" state="hidden" r:id="rId3"/>
    <sheet name="Income after taxes" sheetId="5" state="hidden" r:id="rId4"/>
    <sheet name="Health" sheetId="3" state="hidden" r:id="rId5"/>
    <sheet name="Sports scores" sheetId="8" state="hidden" r:id="rId6"/>
  </sheets>
  <definedNames>
    <definedName name="_xlnm._FilterDatabase" localSheetId="4" hidden="1">Health!$B$2:$I$12</definedName>
    <definedName name="_xlchart.v1.0" hidden="1">'Sports scores'!$A$3:$A$12</definedName>
    <definedName name="_xlchart.v1.1" hidden="1">'Sports scores'!$B$2</definedName>
    <definedName name="_xlchart.v1.10" hidden="1">'Sports scores'!$F$3:$F$12</definedName>
    <definedName name="_xlchart.v1.11" hidden="1">'Sports scores'!$A$3:$A$12</definedName>
    <definedName name="_xlchart.v1.12" hidden="1">'Sports scores'!$B$2</definedName>
    <definedName name="_xlchart.v1.13" hidden="1">'Sports scores'!$B$3:$B$12</definedName>
    <definedName name="_xlchart.v1.14" hidden="1">'Sports scores'!$C$2</definedName>
    <definedName name="_xlchart.v1.15" hidden="1">'Sports scores'!$C$3:$C$12</definedName>
    <definedName name="_xlchart.v1.16" hidden="1">'Sports scores'!$D$2</definedName>
    <definedName name="_xlchart.v1.17" hidden="1">'Sports scores'!$D$3:$D$12</definedName>
    <definedName name="_xlchart.v1.18" hidden="1">'Sports scores'!$E$2</definedName>
    <definedName name="_xlchart.v1.19" hidden="1">'Sports scores'!$E$3:$E$12</definedName>
    <definedName name="_xlchart.v1.2" hidden="1">'Sports scores'!$B$3:$B$12</definedName>
    <definedName name="_xlchart.v1.20" hidden="1">'Sports scores'!$F$2</definedName>
    <definedName name="_xlchart.v1.21" hidden="1">'Sports scores'!$F$3:$F$12</definedName>
    <definedName name="_xlchart.v1.3" hidden="1">'Sports scores'!$C$2</definedName>
    <definedName name="_xlchart.v1.4" hidden="1">'Sports scores'!$C$3:$C$12</definedName>
    <definedName name="_xlchart.v1.5" hidden="1">'Sports scores'!$D$2</definedName>
    <definedName name="_xlchart.v1.6" hidden="1">'Sports scores'!$D$3:$D$12</definedName>
    <definedName name="_xlchart.v1.7" hidden="1">'Sports scores'!$E$2</definedName>
    <definedName name="_xlchart.v1.8" hidden="1">'Sports scores'!$E$3:$E$12</definedName>
    <definedName name="_xlchart.v1.9" hidden="1">'Sports scores'!$F$2</definedName>
    <definedName name="Slicer_City1">#N/A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3" l="1"/>
  <c r="D18" i="2"/>
  <c r="C18" i="2"/>
  <c r="B18" i="2"/>
  <c r="K27" i="2"/>
  <c r="L27" i="2" s="1"/>
  <c r="K22" i="2"/>
  <c r="L22" i="2" s="1"/>
  <c r="J4" i="3"/>
  <c r="J5" i="3"/>
  <c r="J6" i="3"/>
  <c r="J7" i="3"/>
  <c r="J8" i="3"/>
  <c r="J9" i="3"/>
  <c r="J10" i="3"/>
  <c r="J11" i="3"/>
  <c r="J12" i="3"/>
  <c r="J3" i="3"/>
  <c r="J13" i="3" s="1"/>
  <c r="F3" i="3"/>
  <c r="F4" i="3"/>
  <c r="F10" i="3"/>
  <c r="F7" i="3"/>
  <c r="F9" i="3"/>
  <c r="F12" i="3"/>
  <c r="F8" i="3"/>
  <c r="F5" i="3"/>
  <c r="F6" i="3"/>
  <c r="F11" i="3"/>
  <c r="B17" i="1"/>
  <c r="C17" i="1" s="1"/>
  <c r="F18" i="1"/>
  <c r="E17" i="1"/>
  <c r="F17" i="1" s="1"/>
  <c r="E13" i="1"/>
  <c r="C18" i="1" s="1"/>
  <c r="D13" i="1"/>
  <c r="B18" i="3" l="1"/>
  <c r="G12" i="1"/>
  <c r="G11" i="1"/>
  <c r="G10" i="1"/>
  <c r="G9" i="1"/>
  <c r="B7" i="2" s="1"/>
  <c r="G8" i="1"/>
  <c r="G7" i="1"/>
  <c r="G6" i="1"/>
  <c r="G5" i="1"/>
  <c r="G4" i="1"/>
  <c r="G3" i="1"/>
</calcChain>
</file>

<file path=xl/sharedStrings.xml><?xml version="1.0" encoding="utf-8"?>
<sst xmlns="http://schemas.openxmlformats.org/spreadsheetml/2006/main" count="141" uniqueCount="77">
  <si>
    <t>City</t>
  </si>
  <si>
    <t>State</t>
  </si>
  <si>
    <t>Crime Index</t>
  </si>
  <si>
    <t>Safety Index</t>
  </si>
  <si>
    <t>Quality of Life Index</t>
  </si>
  <si>
    <t>New York City</t>
  </si>
  <si>
    <t>New York</t>
  </si>
  <si>
    <t>Seattle</t>
  </si>
  <si>
    <t>Washington</t>
  </si>
  <si>
    <t>Austin</t>
  </si>
  <si>
    <t>Texas</t>
  </si>
  <si>
    <t>Boston</t>
  </si>
  <si>
    <t>Massachusetts</t>
  </si>
  <si>
    <t>San Francisco</t>
  </si>
  <si>
    <t>California</t>
  </si>
  <si>
    <t>Washington, D.C.</t>
  </si>
  <si>
    <t>District of Columbia</t>
  </si>
  <si>
    <t>San Diego</t>
  </si>
  <si>
    <t>Chicago</t>
  </si>
  <si>
    <t>Illinois</t>
  </si>
  <si>
    <t>Denver</t>
  </si>
  <si>
    <t>Colorado</t>
  </si>
  <si>
    <t>Atlanta</t>
  </si>
  <si>
    <t>Georgia</t>
  </si>
  <si>
    <t>Quality of Life Rank</t>
  </si>
  <si>
    <t>BEST PLACE TO LIVE</t>
  </si>
  <si>
    <t>Select your preferred city to get started</t>
  </si>
  <si>
    <t>Quality of Life (Rank)</t>
  </si>
  <si>
    <t>Average</t>
  </si>
  <si>
    <t>Category</t>
  </si>
  <si>
    <t>Value</t>
  </si>
  <si>
    <t>Safety</t>
  </si>
  <si>
    <t>Crime</t>
  </si>
  <si>
    <t>Total Cases</t>
  </si>
  <si>
    <t>Total Deaths</t>
  </si>
  <si>
    <t>Total Recovered</t>
  </si>
  <si>
    <t>Death/Case</t>
  </si>
  <si>
    <t>Total Cases/1M population</t>
  </si>
  <si>
    <t>Deaths/1 M population</t>
  </si>
  <si>
    <t>Population</t>
  </si>
  <si>
    <t>Infection Rate</t>
  </si>
  <si>
    <t>% fully vaccinated</t>
  </si>
  <si>
    <t>% Fully Vaccinated</t>
  </si>
  <si>
    <t>Total Score</t>
  </si>
  <si>
    <t>Football Rank</t>
  </si>
  <si>
    <t>Baseball Rank</t>
  </si>
  <si>
    <t>Basketball Rank</t>
  </si>
  <si>
    <t>Soccer Rank</t>
  </si>
  <si>
    <t>3.5 - 4.5</t>
  </si>
  <si>
    <t>$10 - $30</t>
  </si>
  <si>
    <t>4.0 - 4.5</t>
  </si>
  <si>
    <t>$15 - $50</t>
  </si>
  <si>
    <t>$15 - $40</t>
  </si>
  <si>
    <t>$10 - $40</t>
  </si>
  <si>
    <t>$15 - $45</t>
  </si>
  <si>
    <t>$12 - $35</t>
  </si>
  <si>
    <t>3.5 - 4.0</t>
  </si>
  <si>
    <t>$12 - $30</t>
  </si>
  <si>
    <t>Estimated No.of Restaurants</t>
  </si>
  <si>
    <t>Row Labels</t>
  </si>
  <si>
    <t>Grand Total</t>
  </si>
  <si>
    <t>Sum of Income After Taxes</t>
  </si>
  <si>
    <t>Rating</t>
  </si>
  <si>
    <t>Avg Price Range</t>
  </si>
  <si>
    <t>Price Range</t>
  </si>
  <si>
    <t>Rating Range</t>
  </si>
  <si>
    <t>4.0- 4.5</t>
  </si>
  <si>
    <t>AvgRent</t>
  </si>
  <si>
    <t>Cost of Living</t>
  </si>
  <si>
    <t>Price Parity</t>
  </si>
  <si>
    <t>No of Restaurants</t>
  </si>
  <si>
    <r>
      <t xml:space="preserve">Compared to </t>
    </r>
    <r>
      <rPr>
        <b/>
        <sz val="14"/>
        <color theme="1"/>
        <rFont val="Helvetica"/>
        <family val="2"/>
      </rPr>
      <t>32%</t>
    </r>
    <r>
      <rPr>
        <sz val="14"/>
        <color theme="1"/>
        <rFont val="Helvetica"/>
        <family val="2"/>
      </rPr>
      <t xml:space="preserve"> avg</t>
    </r>
  </si>
  <si>
    <r>
      <t xml:space="preserve">Compared to </t>
    </r>
    <r>
      <rPr>
        <b/>
        <sz val="14"/>
        <color theme="1"/>
        <rFont val="Helvetica"/>
        <family val="2"/>
      </rPr>
      <t>70%</t>
    </r>
    <r>
      <rPr>
        <sz val="14"/>
        <color theme="1"/>
        <rFont val="Helvetica"/>
        <family val="2"/>
      </rPr>
      <t xml:space="preserve"> avg</t>
    </r>
  </si>
  <si>
    <t>Datasource</t>
  </si>
  <si>
    <t>Datasource 1</t>
  </si>
  <si>
    <t>Datasource 2</t>
  </si>
  <si>
    <t>Datasource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</si>
</sst>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0.0%"/>
  </numFmts>
  <fonts count="26" x14ac:knownFonts="1">
    <font>
      <sz val="12"/>
      <color theme="1"/>
      <name val="Aptos Narrow"/>
      <family val="2"/>
      <scheme val="minor"/>
    </font>
    <font>
      <sz val="12"/>
      <color theme="1"/>
      <name val="Aptos Narrow"/>
      <family val="2"/>
      <scheme val="minor"/>
    </font>
    <font>
      <b/>
      <sz val="12"/>
      <color theme="1"/>
      <name val="Times New Roman"/>
      <family val="1"/>
    </font>
    <font>
      <sz val="12"/>
      <color theme="1"/>
      <name val="Times New Roman"/>
      <family val="1"/>
    </font>
    <font>
      <sz val="12"/>
      <color rgb="FF000000"/>
      <name val="Times New Roman"/>
      <family val="1"/>
    </font>
    <font>
      <sz val="12"/>
      <color rgb="FF141412"/>
      <name val="Times New Roman"/>
      <family val="1"/>
    </font>
    <font>
      <sz val="12"/>
      <color theme="1"/>
      <name val="Helvetica"/>
      <family val="2"/>
    </font>
    <font>
      <sz val="22"/>
      <color theme="1"/>
      <name val="Helvetica"/>
      <family val="2"/>
    </font>
    <font>
      <sz val="12"/>
      <color theme="0"/>
      <name val="Helvetica"/>
      <family val="2"/>
    </font>
    <font>
      <b/>
      <sz val="14"/>
      <color theme="1"/>
      <name val="Helvetica"/>
      <family val="2"/>
    </font>
    <font>
      <b/>
      <sz val="14"/>
      <color theme="0"/>
      <name val="Helvetica"/>
      <family val="2"/>
    </font>
    <font>
      <b/>
      <sz val="12"/>
      <color theme="0"/>
      <name val="Aptos Narrow"/>
      <family val="2"/>
      <scheme val="minor"/>
    </font>
    <font>
      <b/>
      <sz val="8"/>
      <color rgb="FF000000"/>
      <name val="Arial"/>
      <family val="2"/>
    </font>
    <font>
      <sz val="8"/>
      <color rgb="FF000000"/>
      <name val="Arial"/>
      <family val="2"/>
    </font>
    <font>
      <b/>
      <sz val="20"/>
      <color theme="1"/>
      <name val="Helvetica"/>
      <family val="2"/>
    </font>
    <font>
      <b/>
      <sz val="22"/>
      <color theme="1"/>
      <name val="Helvetica"/>
      <family val="2"/>
    </font>
    <font>
      <b/>
      <sz val="22"/>
      <color theme="1"/>
      <name val="Aptos Narrow"/>
      <family val="2"/>
      <scheme val="minor"/>
    </font>
    <font>
      <b/>
      <i/>
      <sz val="20"/>
      <color theme="0"/>
      <name val="Helvetica"/>
      <family val="2"/>
    </font>
    <font>
      <sz val="14"/>
      <color theme="1"/>
      <name val="Helvetica"/>
      <family val="2"/>
    </font>
    <font>
      <b/>
      <sz val="16"/>
      <color theme="1"/>
      <name val="Helvetica"/>
      <family val="2"/>
    </font>
    <font>
      <b/>
      <sz val="20"/>
      <color theme="1"/>
      <name val="Helvetica"/>
      <family val="2"/>
    </font>
    <font>
      <b/>
      <sz val="20"/>
      <color theme="0"/>
      <name val="Helvetica"/>
      <family val="2"/>
    </font>
    <font>
      <b/>
      <sz val="36"/>
      <color theme="1"/>
      <name val="Helvetica"/>
      <family val="2"/>
    </font>
    <font>
      <b/>
      <sz val="14"/>
      <color theme="1"/>
      <name val="Aptos Narrow"/>
      <family val="2"/>
      <scheme val="minor"/>
    </font>
    <font>
      <b/>
      <sz val="12"/>
      <color rgb="FF000000"/>
      <name val="Times New Roman"/>
      <family val="1"/>
    </font>
    <font>
      <u/>
      <sz val="12"/>
      <color theme="10"/>
      <name val="Aptos Narrow"/>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3"/>
        <bgColor indexed="64"/>
      </patternFill>
    </fill>
    <fill>
      <patternFill patternType="solid">
        <fgColor theme="9" tint="-0.499984740745262"/>
        <bgColor indexed="64"/>
      </patternFill>
    </fill>
    <fill>
      <patternFill patternType="solid">
        <fgColor theme="4"/>
        <bgColor theme="4"/>
      </patternFill>
    </fill>
    <fill>
      <patternFill patternType="solid">
        <fgColor rgb="FFE5E5E5"/>
        <bgColor indexed="64"/>
      </patternFill>
    </fill>
    <fill>
      <patternFill patternType="solid">
        <fgColor theme="4" tint="0.79998168889431442"/>
        <bgColor theme="4" tint="0.79998168889431442"/>
      </patternFill>
    </fill>
    <fill>
      <patternFill patternType="solid">
        <fgColor rgb="FFFFFFFF"/>
        <bgColor indexed="64"/>
      </patternFill>
    </fill>
    <fill>
      <patternFill patternType="solid">
        <fgColor theme="6" tint="-0.499984740745262"/>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4"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thin">
        <color theme="4" tint="0.39997558519241921"/>
      </top>
      <bottom/>
      <diagonal/>
    </border>
    <border>
      <left style="medium">
        <color rgb="FFCCCCCC"/>
      </left>
      <right/>
      <top style="medium">
        <color rgb="FFCCCCCC"/>
      </top>
      <bottom/>
      <diagonal/>
    </border>
    <border>
      <left style="medium">
        <color rgb="FFB8C3C8"/>
      </left>
      <right/>
      <top style="medium">
        <color rgb="FFB8C3C8"/>
      </top>
      <bottom/>
      <diagonal/>
    </border>
    <border>
      <left/>
      <right/>
      <top style="thin">
        <color theme="4" tint="0.39997558519241921"/>
      </top>
      <bottom style="thin">
        <color theme="4" tint="0.39997558519241921"/>
      </bottom>
      <diagonal/>
    </border>
    <border>
      <left style="medium">
        <color rgb="FFB8C3C8"/>
      </left>
      <right/>
      <top style="medium">
        <color rgb="FFB8C3C8"/>
      </top>
      <bottom style="medium">
        <color rgb="FFB8C3C8"/>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pplyNumberFormat="0" applyFill="0" applyBorder="0" applyAlignment="0" applyProtection="0"/>
  </cellStyleXfs>
  <cellXfs count="58">
    <xf numFmtId="0" fontId="0" fillId="0" borderId="0" xfId="0"/>
    <xf numFmtId="0" fontId="2" fillId="0" borderId="1" xfId="0" applyFont="1"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6" fillId="2" borderId="0" xfId="0" applyFont="1" applyFill="1"/>
    <xf numFmtId="0" fontId="6" fillId="3" borderId="0" xfId="0" applyFont="1" applyFill="1"/>
    <xf numFmtId="2" fontId="3" fillId="0" borderId="1" xfId="0" applyNumberFormat="1" applyFont="1" applyBorder="1" applyAlignment="1">
      <alignment horizontal="center" vertical="center"/>
    </xf>
    <xf numFmtId="164" fontId="3" fillId="0" borderId="1" xfId="0" applyNumberFormat="1" applyFont="1" applyBorder="1" applyAlignment="1">
      <alignment horizontal="center" vertical="center"/>
    </xf>
    <xf numFmtId="0" fontId="4" fillId="0" borderId="0" xfId="0" applyFont="1" applyAlignment="1">
      <alignment horizontal="center" vertical="center"/>
    </xf>
    <xf numFmtId="165" fontId="3" fillId="0" borderId="1" xfId="1" applyNumberFormat="1" applyFont="1" applyBorder="1" applyAlignment="1">
      <alignment horizontal="center" vertical="center"/>
    </xf>
    <xf numFmtId="166" fontId="3" fillId="0" borderId="1" xfId="2" applyNumberFormat="1" applyFont="1" applyBorder="1" applyAlignment="1">
      <alignment horizontal="center" vertical="center"/>
    </xf>
    <xf numFmtId="166" fontId="0" fillId="0" borderId="0" xfId="0" applyNumberFormat="1"/>
    <xf numFmtId="0" fontId="8" fillId="3" borderId="0" xfId="0" applyFont="1" applyFill="1"/>
    <xf numFmtId="0" fontId="11" fillId="6" borderId="10" xfId="0" applyFont="1" applyFill="1" applyBorder="1"/>
    <xf numFmtId="0" fontId="12" fillId="7" borderId="11" xfId="0" applyFont="1" applyFill="1" applyBorder="1" applyAlignment="1">
      <alignment horizontal="center" vertical="center" wrapText="1"/>
    </xf>
    <xf numFmtId="0" fontId="0" fillId="8" borderId="10" xfId="0" applyFill="1" applyBorder="1"/>
    <xf numFmtId="0" fontId="13" fillId="9" borderId="12" xfId="0" applyFont="1" applyFill="1" applyBorder="1" applyAlignment="1">
      <alignment horizontal="center" vertical="center" wrapText="1"/>
    </xf>
    <xf numFmtId="0" fontId="0" fillId="0" borderId="10" xfId="0" applyBorder="1"/>
    <xf numFmtId="0" fontId="0" fillId="0" borderId="13" xfId="0" applyBorder="1"/>
    <xf numFmtId="0" fontId="13" fillId="9" borderId="14" xfId="0" applyFont="1" applyFill="1" applyBorder="1" applyAlignment="1">
      <alignment horizontal="center" vertical="center" wrapText="1"/>
    </xf>
    <xf numFmtId="0" fontId="0" fillId="0" borderId="0" xfId="0" pivotButton="1"/>
    <xf numFmtId="0" fontId="0" fillId="0" borderId="0" xfId="0" applyAlignment="1">
      <alignment horizontal="left"/>
    </xf>
    <xf numFmtId="3" fontId="0" fillId="0" borderId="0" xfId="0" applyNumberFormat="1"/>
    <xf numFmtId="0" fontId="10" fillId="10" borderId="6"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0" xfId="0" applyFont="1" applyFill="1" applyAlignment="1">
      <alignment vertical="center"/>
    </xf>
    <xf numFmtId="0" fontId="7" fillId="3" borderId="0" xfId="0" applyFont="1" applyFill="1" applyAlignment="1">
      <alignment vertical="center"/>
    </xf>
    <xf numFmtId="0" fontId="7" fillId="3" borderId="9" xfId="0" applyFont="1" applyFill="1" applyBorder="1" applyAlignment="1">
      <alignment vertical="center"/>
    </xf>
    <xf numFmtId="0" fontId="15" fillId="3" borderId="0" xfId="0" applyFont="1" applyFill="1" applyAlignment="1">
      <alignment horizontal="center" vertical="center"/>
    </xf>
    <xf numFmtId="9" fontId="20" fillId="3" borderId="7" xfId="2" applyFont="1" applyFill="1" applyBorder="1" applyAlignment="1">
      <alignment horizontal="center" vertical="center"/>
    </xf>
    <xf numFmtId="0" fontId="23" fillId="13" borderId="6" xfId="0" applyFont="1" applyFill="1" applyBorder="1" applyAlignment="1">
      <alignment horizontal="center" vertical="center"/>
    </xf>
    <xf numFmtId="0" fontId="3" fillId="0" borderId="1" xfId="0" applyFont="1" applyBorder="1"/>
    <xf numFmtId="0" fontId="3" fillId="0" borderId="0" xfId="0" applyFont="1"/>
    <xf numFmtId="164" fontId="3" fillId="0" borderId="1" xfId="0" applyNumberFormat="1" applyFont="1" applyBorder="1" applyAlignment="1">
      <alignment horizontal="center"/>
    </xf>
    <xf numFmtId="0" fontId="24" fillId="0" borderId="0" xfId="0" applyFont="1"/>
    <xf numFmtId="0" fontId="4" fillId="0" borderId="0" xfId="0" applyFont="1"/>
    <xf numFmtId="164" fontId="4" fillId="0" borderId="0" xfId="0" applyNumberFormat="1" applyFont="1"/>
    <xf numFmtId="0" fontId="2" fillId="0" borderId="1" xfId="0" applyFont="1" applyBorder="1"/>
    <xf numFmtId="0" fontId="2" fillId="0" borderId="0" xfId="0" applyFont="1"/>
    <xf numFmtId="1" fontId="0" fillId="0" borderId="1" xfId="0" applyNumberFormat="1" applyBorder="1"/>
    <xf numFmtId="166" fontId="0" fillId="0" borderId="1" xfId="2" applyNumberFormat="1" applyFont="1" applyBorder="1"/>
    <xf numFmtId="9" fontId="0" fillId="0" borderId="1" xfId="2" applyFont="1" applyBorder="1"/>
    <xf numFmtId="0" fontId="25" fillId="0" borderId="0" xfId="3"/>
    <xf numFmtId="0" fontId="17" fillId="4" borderId="2" xfId="0" applyFont="1" applyFill="1" applyBorder="1" applyAlignment="1">
      <alignment horizontal="center"/>
    </xf>
    <xf numFmtId="0" fontId="17" fillId="4" borderId="3" xfId="0" applyFont="1" applyFill="1" applyBorder="1" applyAlignment="1">
      <alignment horizontal="center"/>
    </xf>
    <xf numFmtId="0" fontId="17" fillId="4" borderId="4" xfId="0" applyFont="1" applyFill="1" applyBorder="1" applyAlignment="1">
      <alignment horizontal="center"/>
    </xf>
    <xf numFmtId="0" fontId="6" fillId="3" borderId="0" xfId="0" applyFont="1" applyFill="1" applyAlignment="1">
      <alignment horizontal="center"/>
    </xf>
    <xf numFmtId="0" fontId="9" fillId="3" borderId="5" xfId="0" applyFont="1" applyFill="1" applyBorder="1" applyAlignment="1">
      <alignment horizontal="center"/>
    </xf>
    <xf numFmtId="0" fontId="21" fillId="5" borderId="0" xfId="0" applyFont="1" applyFill="1" applyAlignment="1">
      <alignment horizontal="center"/>
    </xf>
    <xf numFmtId="0" fontId="16" fillId="12" borderId="7" xfId="0" applyFont="1" applyFill="1" applyBorder="1" applyAlignment="1">
      <alignment horizontal="center" vertical="center"/>
    </xf>
    <xf numFmtId="0" fontId="16" fillId="12" borderId="8" xfId="0" applyFont="1" applyFill="1" applyBorder="1" applyAlignment="1">
      <alignment horizontal="center" vertical="center"/>
    </xf>
    <xf numFmtId="0" fontId="19" fillId="3" borderId="0" xfId="0" applyFont="1" applyFill="1" applyAlignment="1">
      <alignment horizontal="center"/>
    </xf>
    <xf numFmtId="0" fontId="22" fillId="11" borderId="0" xfId="0" applyFont="1" applyFill="1" applyAlignment="1">
      <alignment horizontal="center" vertical="center"/>
    </xf>
    <xf numFmtId="0" fontId="15" fillId="12" borderId="7" xfId="0" applyFont="1" applyFill="1" applyBorder="1" applyAlignment="1">
      <alignment horizontal="center" vertical="center"/>
    </xf>
    <xf numFmtId="0" fontId="15" fillId="12" borderId="8" xfId="0" applyFont="1" applyFill="1" applyBorder="1" applyAlignment="1">
      <alignment horizontal="center" vertical="center"/>
    </xf>
    <xf numFmtId="0" fontId="14" fillId="12" borderId="7" xfId="0" applyFont="1" applyFill="1" applyBorder="1" applyAlignment="1">
      <alignment horizontal="center" vertical="center"/>
    </xf>
    <xf numFmtId="0" fontId="14" fillId="12" borderId="8" xfId="0" applyFont="1" applyFill="1" applyBorder="1" applyAlignment="1">
      <alignment horizontal="center" vertical="center"/>
    </xf>
  </cellXfs>
  <cellStyles count="4">
    <cellStyle name="Comma" xfId="1" builtinId="3"/>
    <cellStyle name="Hyperlink" xfId="3" builtinId="8"/>
    <cellStyle name="Normal" xfId="0" builtinId="0"/>
    <cellStyle name="Percent" xfId="2" builtinId="5"/>
  </cellStyles>
  <dxfs count="13">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medium">
          <color rgb="FFB8C3C8"/>
        </left>
        <right/>
        <top style="medium">
          <color rgb="FFB8C3C8"/>
        </top>
        <bottom/>
        <vertical/>
        <horizontal/>
      </border>
    </dxf>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medium">
          <color rgb="FFB8C3C8"/>
        </left>
        <right/>
        <top style="medium">
          <color rgb="FFB8C3C8"/>
        </top>
        <bottom/>
        <vertical/>
        <horizontal/>
      </border>
    </dxf>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medium">
          <color rgb="FFB8C3C8"/>
        </left>
        <right/>
        <top style="medium">
          <color rgb="FFB8C3C8"/>
        </top>
        <bottom/>
        <vertical/>
        <horizontal/>
      </border>
    </dxf>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medium">
          <color rgb="FFB8C3C8"/>
        </left>
        <right/>
        <top style="medium">
          <color rgb="FFB8C3C8"/>
        </top>
        <bottom/>
        <vertical/>
        <horizontal/>
      </border>
    </dxf>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border diagonalUp="0" diagonalDown="0">
        <left style="medium">
          <color rgb="FFB8C3C8"/>
        </left>
        <right/>
        <top style="medium">
          <color rgb="FFB8C3C8"/>
        </top>
        <bottom/>
        <vertical/>
        <horizontal/>
      </border>
    </dxf>
    <dxf>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8"/>
        <color rgb="FF000000"/>
        <name val="Arial"/>
        <family val="2"/>
        <scheme val="none"/>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8"/>
        <color rgb="FF000000"/>
        <name val="Arial"/>
        <family val="2"/>
        <scheme val="none"/>
      </font>
      <fill>
        <patternFill patternType="solid">
          <fgColor indexed="64"/>
          <bgColor rgb="FFE5E5E5"/>
        </patternFill>
      </fill>
      <alignment horizontal="center" vertical="center"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D0B7"/>
      <color rgb="FFAF8F7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Safety</a:t>
            </a:r>
            <a:r>
              <a:rPr lang="en-US" b="1" baseline="0"/>
              <a:t> Index</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'Quality of Life'!$C$16</c:f>
              <c:strCache>
                <c:ptCount val="1"/>
                <c:pt idx="0">
                  <c:v>Value</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02553746473244"/>
                      <c:h val="0.23516495414150282"/>
                    </c:manualLayout>
                  </c15:layout>
                </c:ext>
                <c:ext xmlns:c16="http://schemas.microsoft.com/office/drawing/2014/chart" uri="{C3380CC4-5D6E-409C-BE32-E72D297353CC}">
                  <c16:uniqueId val="{00000000-2BA9-4488-B816-F2BCC756B498}"/>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602553746473244"/>
                      <c:h val="0.23516495414150282"/>
                    </c:manualLayout>
                  </c15:layout>
                </c:ext>
                <c:ext xmlns:c16="http://schemas.microsoft.com/office/drawing/2014/chart" uri="{C3380CC4-5D6E-409C-BE32-E72D297353CC}">
                  <c16:uniqueId val="{00000001-2BA9-4488-B816-F2BCC756B4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'Quality of Life'!$B$17:$B$18</c:f>
              <c:strCache>
                <c:ptCount val="2"/>
                <c:pt idx="0">
                  <c:v>Chicago</c:v>
                </c:pt>
                <c:pt idx="1">
                  <c:v>Average</c:v>
                </c:pt>
              </c:strCache>
            </c:strRef>
          </c:cat>
          <c:val>
            <c:numRef>
              <c:f>'Quality of Life'!$C$17:$C$18</c:f>
              <c:numCache>
                <c:formatCode>0.0</c:formatCode>
                <c:ptCount val="2"/>
                <c:pt idx="0" formatCode="General">
                  <c:v>33.9</c:v>
                </c:pt>
                <c:pt idx="1">
                  <c:v>47.39</c:v>
                </c:pt>
              </c:numCache>
            </c:numRef>
          </c:val>
          <c:extLst>
            <c:ext xmlns:c16="http://schemas.microsoft.com/office/drawing/2014/chart" uri="{C3380CC4-5D6E-409C-BE32-E72D297353CC}">
              <c16:uniqueId val="{00000000-D13B-D545-AB11-F674CD4F1F9A}"/>
            </c:ext>
          </c:extLst>
        </c:ser>
        <c:dLbls>
          <c:dLblPos val="ctr"/>
          <c:showLegendKey val="0"/>
          <c:showVal val="1"/>
          <c:showCatName val="0"/>
          <c:showSerName val="0"/>
          <c:showPercent val="0"/>
          <c:showBubbleSize val="0"/>
        </c:dLbls>
        <c:gapWidth val="30"/>
        <c:overlap val="-27"/>
        <c:axId val="1917789968"/>
        <c:axId val="944746544"/>
      </c:barChart>
      <c:catAx>
        <c:axId val="191778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746544"/>
        <c:crosses val="autoZero"/>
        <c:auto val="1"/>
        <c:lblAlgn val="ctr"/>
        <c:lblOffset val="100"/>
        <c:noMultiLvlLbl val="0"/>
      </c:catAx>
      <c:valAx>
        <c:axId val="944746544"/>
        <c:scaling>
          <c:orientation val="minMax"/>
        </c:scaling>
        <c:delete val="1"/>
        <c:axPos val="l"/>
        <c:numFmt formatCode="General" sourceLinked="1"/>
        <c:majorTickMark val="none"/>
        <c:minorTickMark val="none"/>
        <c:tickLblPos val="nextTo"/>
        <c:crossAx val="191778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Crime</a:t>
            </a:r>
            <a:r>
              <a:rPr lang="en-US" b="1" baseline="0"/>
              <a:t> Index</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'Quality of Life'!$F$16</c:f>
              <c:strCache>
                <c:ptCount val="1"/>
                <c:pt idx="0">
                  <c:v>Value</c:v>
                </c:pt>
              </c:strCache>
            </c:strRef>
          </c:tx>
          <c:spPr>
            <a:solidFill>
              <a:srgbClr val="AF8F7C"/>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740674695419025"/>
                      <c:h val="0.23422821220942042"/>
                    </c:manualLayout>
                  </c15:layout>
                </c:ext>
                <c:ext xmlns:c16="http://schemas.microsoft.com/office/drawing/2014/chart" uri="{C3380CC4-5D6E-409C-BE32-E72D297353CC}">
                  <c16:uniqueId val="{00000000-2342-4098-BED8-60A9749A3453}"/>
                </c:ext>
              </c:extLst>
            </c:dLbl>
            <c:dLbl>
              <c:idx val="1"/>
              <c:layout>
                <c:manualLayout>
                  <c:x val="3.98041001407473E-7"/>
                  <c:y val="1.8760769900634394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6751698838994004"/>
                      <c:h val="0.23422821220942042"/>
                    </c:manualLayout>
                  </c15:layout>
                </c:ext>
                <c:ext xmlns:c16="http://schemas.microsoft.com/office/drawing/2014/chart" uri="{C3380CC4-5D6E-409C-BE32-E72D297353CC}">
                  <c16:uniqueId val="{00000001-2342-4098-BED8-60A9749A34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'Quality of Life'!$E$17:$E$18</c:f>
              <c:strCache>
                <c:ptCount val="2"/>
                <c:pt idx="0">
                  <c:v>Chicago</c:v>
                </c:pt>
                <c:pt idx="1">
                  <c:v>Average</c:v>
                </c:pt>
              </c:strCache>
            </c:strRef>
          </c:cat>
          <c:val>
            <c:numRef>
              <c:f>'Quality of Life'!$F$17:$F$18</c:f>
              <c:numCache>
                <c:formatCode>0.0</c:formatCode>
                <c:ptCount val="2"/>
                <c:pt idx="0" formatCode="General">
                  <c:v>66.099999999999994</c:v>
                </c:pt>
                <c:pt idx="1">
                  <c:v>52.61</c:v>
                </c:pt>
              </c:numCache>
            </c:numRef>
          </c:val>
          <c:extLst>
            <c:ext xmlns:c16="http://schemas.microsoft.com/office/drawing/2014/chart" uri="{C3380CC4-5D6E-409C-BE32-E72D297353CC}">
              <c16:uniqueId val="{00000000-D13B-D545-AB11-F674CD4F1F9A}"/>
            </c:ext>
          </c:extLst>
        </c:ser>
        <c:dLbls>
          <c:showLegendKey val="0"/>
          <c:showVal val="0"/>
          <c:showCatName val="0"/>
          <c:showSerName val="0"/>
          <c:showPercent val="0"/>
          <c:showBubbleSize val="0"/>
        </c:dLbls>
        <c:gapWidth val="30"/>
        <c:overlap val="-27"/>
        <c:axId val="1917789968"/>
        <c:axId val="944746544"/>
      </c:barChart>
      <c:catAx>
        <c:axId val="191778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746544"/>
        <c:crosses val="autoZero"/>
        <c:auto val="1"/>
        <c:lblAlgn val="ctr"/>
        <c:lblOffset val="100"/>
        <c:noMultiLvlLbl val="0"/>
      </c:catAx>
      <c:valAx>
        <c:axId val="944746544"/>
        <c:scaling>
          <c:orientation val="minMax"/>
        </c:scaling>
        <c:delete val="1"/>
        <c:axPos val="l"/>
        <c:numFmt formatCode="General" sourceLinked="1"/>
        <c:majorTickMark val="none"/>
        <c:minorTickMark val="none"/>
        <c:tickLblPos val="nextTo"/>
        <c:crossAx val="191778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Death</a:t>
            </a:r>
            <a:r>
              <a:rPr lang="en-US" b="1" baseline="0"/>
              <a:t> due to Covid</a:t>
            </a:r>
            <a:r>
              <a:rPr lang="en-US" b="1"/>
              <a:t>/Mln population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Health!$H$2</c:f>
              <c:strCache>
                <c:ptCount val="1"/>
                <c:pt idx="0">
                  <c:v>Deaths/1 M population</c:v>
                </c:pt>
              </c:strCache>
            </c:strRef>
          </c:tx>
          <c:spPr>
            <a:solidFill>
              <a:schemeClr val="accent1"/>
            </a:solidFill>
            <a:ln>
              <a:noFill/>
            </a:ln>
            <a:effectLst/>
          </c:spPr>
          <c:invertIfNegative val="0"/>
          <c:dLbls>
            <c:dLbl>
              <c:idx val="5"/>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8.9773510328905334E-2"/>
                      <c:h val="3.1291180053344435E-2"/>
                    </c:manualLayout>
                  </c15:layout>
                </c:ext>
                <c:ext xmlns:c16="http://schemas.microsoft.com/office/drawing/2014/chart" uri="{C3380CC4-5D6E-409C-BE32-E72D297353CC}">
                  <c16:uniqueId val="{00000005-E980-AE4E-89D0-3DAE85795821}"/>
                </c:ext>
              </c:extLst>
            </c:dLbl>
            <c:dLbl>
              <c:idx val="6"/>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8.9773510328905334E-2"/>
                      <c:h val="3.1291180053344435E-2"/>
                    </c:manualLayout>
                  </c15:layout>
                </c:ext>
                <c:ext xmlns:c16="http://schemas.microsoft.com/office/drawing/2014/chart" uri="{C3380CC4-5D6E-409C-BE32-E72D297353CC}">
                  <c16:uniqueId val="{00000004-E980-AE4E-89D0-3DAE85795821}"/>
                </c:ext>
              </c:extLst>
            </c:dLbl>
            <c:dLbl>
              <c:idx val="7"/>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8.9773510328905334E-2"/>
                      <c:h val="4.174764595723799E-2"/>
                    </c:manualLayout>
                  </c15:layout>
                </c:ext>
                <c:ext xmlns:c16="http://schemas.microsoft.com/office/drawing/2014/chart" uri="{C3380CC4-5D6E-409C-BE32-E72D297353CC}">
                  <c16:uniqueId val="{00000003-E980-AE4E-89D0-3DAE85795821}"/>
                </c:ext>
              </c:extLst>
            </c:dLbl>
            <c:dLbl>
              <c:idx val="8"/>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9.0112130837165724E-2"/>
                      <c:h val="4.1149741885900662E-2"/>
                    </c:manualLayout>
                  </c15:layout>
                </c:ext>
                <c:ext xmlns:c16="http://schemas.microsoft.com/office/drawing/2014/chart" uri="{C3380CC4-5D6E-409C-BE32-E72D297353CC}">
                  <c16:uniqueId val="{00000002-E980-AE4E-89D0-3DAE85795821}"/>
                </c:ext>
              </c:extLst>
            </c:dLbl>
            <c:dLbl>
              <c:idx val="9"/>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9.0112130837165724E-2"/>
                      <c:h val="4.1149741885900662E-2"/>
                    </c:manualLayout>
                  </c15:layout>
                </c:ext>
                <c:ext xmlns:c16="http://schemas.microsoft.com/office/drawing/2014/chart" uri="{C3380CC4-5D6E-409C-BE32-E72D297353CC}">
                  <c16:uniqueId val="{00000001-E980-AE4E-89D0-3DAE85795821}"/>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Health!$B$3:$B$12</c:f>
              <c:strCache>
                <c:ptCount val="10"/>
                <c:pt idx="0">
                  <c:v>New York City</c:v>
                </c:pt>
                <c:pt idx="1">
                  <c:v>Atlanta</c:v>
                </c:pt>
                <c:pt idx="2">
                  <c:v>Boston</c:v>
                </c:pt>
                <c:pt idx="3">
                  <c:v>Austin</c:v>
                </c:pt>
                <c:pt idx="4">
                  <c:v>Chicago</c:v>
                </c:pt>
                <c:pt idx="5">
                  <c:v>San Francisco</c:v>
                </c:pt>
                <c:pt idx="6">
                  <c:v>San Diego</c:v>
                </c:pt>
                <c:pt idx="7">
                  <c:v>Denver</c:v>
                </c:pt>
                <c:pt idx="8">
                  <c:v>Seattle</c:v>
                </c:pt>
                <c:pt idx="9">
                  <c:v>Washington, D.C.</c:v>
                </c:pt>
              </c:strCache>
            </c:strRef>
          </c:cat>
          <c:val>
            <c:numRef>
              <c:f>Health!$H$3:$H$12</c:f>
              <c:numCache>
                <c:formatCode>General</c:formatCode>
                <c:ptCount val="10"/>
                <c:pt idx="0">
                  <c:v>4286</c:v>
                </c:pt>
                <c:pt idx="1">
                  <c:v>4151</c:v>
                </c:pt>
                <c:pt idx="2">
                  <c:v>3712</c:v>
                </c:pt>
                <c:pt idx="3">
                  <c:v>3614</c:v>
                </c:pt>
                <c:pt idx="4">
                  <c:v>3315</c:v>
                </c:pt>
                <c:pt idx="5">
                  <c:v>2846</c:v>
                </c:pt>
                <c:pt idx="6">
                  <c:v>2846</c:v>
                </c:pt>
                <c:pt idx="7">
                  <c:v>2701</c:v>
                </c:pt>
                <c:pt idx="8">
                  <c:v>2277</c:v>
                </c:pt>
                <c:pt idx="9">
                  <c:v>2032</c:v>
                </c:pt>
              </c:numCache>
            </c:numRef>
          </c:val>
          <c:extLst>
            <c:ext xmlns:c16="http://schemas.microsoft.com/office/drawing/2014/chart" uri="{C3380CC4-5D6E-409C-BE32-E72D297353CC}">
              <c16:uniqueId val="{00000000-E980-AE4E-89D0-3DAE85795821}"/>
            </c:ext>
          </c:extLst>
        </c:ser>
        <c:dLbls>
          <c:dLblPos val="inEnd"/>
          <c:showLegendKey val="0"/>
          <c:showVal val="1"/>
          <c:showCatName val="0"/>
          <c:showSerName val="0"/>
          <c:showPercent val="0"/>
          <c:showBubbleSize val="0"/>
        </c:dLbls>
        <c:gapWidth val="54"/>
        <c:overlap val="-79"/>
        <c:axId val="1767216448"/>
        <c:axId val="1767218160"/>
      </c:barChart>
      <c:catAx>
        <c:axId val="1767216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7218160"/>
        <c:crosses val="autoZero"/>
        <c:auto val="1"/>
        <c:lblAlgn val="ctr"/>
        <c:lblOffset val="100"/>
        <c:noMultiLvlLbl val="0"/>
      </c:catAx>
      <c:valAx>
        <c:axId val="1767218160"/>
        <c:scaling>
          <c:orientation val="minMax"/>
        </c:scaling>
        <c:delete val="1"/>
        <c:axPos val="b"/>
        <c:numFmt formatCode="General" sourceLinked="1"/>
        <c:majorTickMark val="none"/>
        <c:minorTickMark val="none"/>
        <c:tickLblPos val="nextTo"/>
        <c:crossAx val="1767216448"/>
        <c:crosses val="autoZero"/>
        <c:crossBetween val="between"/>
      </c:valAx>
      <c:spPr>
        <a:noFill/>
        <a:ln>
          <a:solidFill>
            <a:schemeClr val="bg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Dashboard.xlsm]Income after taxes!PivotTable56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Income</a:t>
            </a:r>
            <a:r>
              <a:rPr lang="en-US" b="1" baseline="0"/>
              <a:t> after Taxes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9.4581873644575161E-3"/>
              <c:y val="0.13232015007189296"/>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3204999880841732"/>
                  <c:h val="0.11660516787808144"/>
                </c:manualLayout>
              </c15:layout>
            </c:ext>
          </c:extLst>
        </c:dLbl>
      </c:pivotFmt>
      <c:pivotFmt>
        <c:idx val="4"/>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4533912442506135"/>
                  <c:h val="0.17641190011281557"/>
                </c:manualLayout>
              </c15:layout>
            </c:ext>
          </c:extLst>
        </c:dLbl>
      </c:pivotFmt>
      <c:pivotFmt>
        <c:idx val="5"/>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2642274969614641"/>
                  <c:h val="0.23029183906302644"/>
                </c:manualLayout>
              </c15:layout>
            </c:ext>
          </c:extLst>
        </c:dLbl>
      </c:pivotFmt>
      <c:pivotFmt>
        <c:idx val="6"/>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0750637496723147"/>
                  <c:h val="0.27070179327568461"/>
                </c:manualLayout>
              </c15:layout>
            </c:ext>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8859000023831647"/>
                  <c:h val="0.2886617729257549"/>
                </c:manualLayout>
              </c15:layout>
            </c:ext>
          </c:extLst>
        </c:dLbl>
      </c:pivotFmt>
      <c:pivotFmt>
        <c:idx val="8"/>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1696456233168894"/>
                  <c:h val="0.26621179836316705"/>
                </c:manualLayout>
              </c15:layout>
            </c:ext>
          </c:extLst>
        </c:dLbl>
      </c:pivotFmt>
      <c:pivotFmt>
        <c:idx val="9"/>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98048187602774"/>
                  <c:h val="0.23927182888806159"/>
                </c:manualLayout>
              </c15:layout>
            </c:ext>
          </c:extLst>
        </c:dLbl>
      </c:pivotFmt>
      <c:pivotFmt>
        <c:idx val="10"/>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8859000023831647"/>
                  <c:h val="0.24376182380057917"/>
                </c:manualLayout>
              </c15:layout>
            </c:ext>
          </c:extLst>
        </c:dLbl>
      </c:pivotFmt>
      <c:pivotFmt>
        <c:idx val="11"/>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0750637496723147"/>
                  <c:h val="0.21233185941295615"/>
                </c:manualLayout>
              </c15:layout>
            </c:ext>
          </c:extLst>
        </c:dLbl>
      </c:pivotFmt>
      <c:pivotFmt>
        <c:idx val="12"/>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41696456233168894"/>
                  <c:h val="0.19437187976288584"/>
                </c:manualLayout>
              </c15:layout>
            </c:ext>
          </c:extLst>
        </c:dLbl>
      </c:pivotFmt>
    </c:pivotFmts>
    <c:plotArea>
      <c:layout/>
      <c:barChart>
        <c:barDir val="col"/>
        <c:grouping val="clustered"/>
        <c:varyColors val="0"/>
        <c:ser>
          <c:idx val="0"/>
          <c:order val="0"/>
          <c:tx>
            <c:strRef>
              <c:f>'Income after taxes'!$B$3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4BAD-4895-B554-1F5037115F44}"/>
              </c:ext>
            </c:extLst>
          </c:dPt>
          <c:dLbls>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8859000023831647"/>
                      <c:h val="0.2886617729257549"/>
                    </c:manualLayout>
                  </c15:layout>
                </c:ext>
                <c:ext xmlns:c16="http://schemas.microsoft.com/office/drawing/2014/chart" uri="{C3380CC4-5D6E-409C-BE32-E72D297353CC}">
                  <c16:uniqueId val="{00000000-4BAD-4895-B554-1F5037115F4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 after taxes'!$A$4:$A$5</c:f>
              <c:strCache>
                <c:ptCount val="1"/>
                <c:pt idx="0">
                  <c:v>San Francisco</c:v>
                </c:pt>
              </c:strCache>
            </c:strRef>
          </c:cat>
          <c:val>
            <c:numRef>
              <c:f>'Income after taxes'!$B$4:$B$5</c:f>
              <c:numCache>
                <c:formatCode>#,##0</c:formatCode>
                <c:ptCount val="1"/>
                <c:pt idx="0">
                  <c:v>71978</c:v>
                </c:pt>
              </c:numCache>
            </c:numRef>
          </c:val>
          <c:extLst>
            <c:ext xmlns:c16="http://schemas.microsoft.com/office/drawing/2014/chart" uri="{C3380CC4-5D6E-409C-BE32-E72D297353CC}">
              <c16:uniqueId val="{00000000-A177-482A-8F5E-0FB7FDC7D3A8}"/>
            </c:ext>
          </c:extLst>
        </c:ser>
        <c:dLbls>
          <c:dLblPos val="inEnd"/>
          <c:showLegendKey val="0"/>
          <c:showVal val="1"/>
          <c:showCatName val="0"/>
          <c:showSerName val="0"/>
          <c:showPercent val="0"/>
          <c:showBubbleSize val="0"/>
        </c:dLbls>
        <c:gapWidth val="78"/>
        <c:overlap val="100"/>
        <c:axId val="205742880"/>
        <c:axId val="205735200"/>
      </c:barChart>
      <c:catAx>
        <c:axId val="205742880"/>
        <c:scaling>
          <c:orientation val="minMax"/>
        </c:scaling>
        <c:delete val="1"/>
        <c:axPos val="b"/>
        <c:numFmt formatCode="General" sourceLinked="1"/>
        <c:majorTickMark val="none"/>
        <c:minorTickMark val="none"/>
        <c:tickLblPos val="nextTo"/>
        <c:crossAx val="205735200"/>
        <c:crosses val="autoZero"/>
        <c:auto val="1"/>
        <c:lblAlgn val="ctr"/>
        <c:lblOffset val="100"/>
        <c:noMultiLvlLbl val="0"/>
      </c:catAx>
      <c:valAx>
        <c:axId val="205735200"/>
        <c:scaling>
          <c:orientation val="minMax"/>
        </c:scaling>
        <c:delete val="1"/>
        <c:axPos val="l"/>
        <c:numFmt formatCode="#,##0" sourceLinked="1"/>
        <c:majorTickMark val="none"/>
        <c:minorTickMark val="none"/>
        <c:tickLblPos val="nextTo"/>
        <c:crossAx val="20574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CostofLiving!$E$2</c:f>
              <c:strCache>
                <c:ptCount val="1"/>
                <c:pt idx="0">
                  <c:v>Price Parity</c:v>
                </c:pt>
              </c:strCache>
            </c:strRef>
          </c:tx>
          <c:spPr>
            <a:ln w="28575" cap="rnd">
              <a:solidFill>
                <a:schemeClr val="accent1"/>
              </a:solidFill>
              <a:round/>
            </a:ln>
            <a:effectLst/>
          </c:spPr>
          <c:marker>
            <c:symbol val="none"/>
          </c:marker>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CostofLiving!$E$3:$E$12</c:f>
              <c:numCache>
                <c:formatCode>0</c:formatCode>
                <c:ptCount val="10"/>
                <c:pt idx="0">
                  <c:v>114.58</c:v>
                </c:pt>
                <c:pt idx="1">
                  <c:v>114.57</c:v>
                </c:pt>
                <c:pt idx="2">
                  <c:v>100.04</c:v>
                </c:pt>
                <c:pt idx="3">
                  <c:v>109.69</c:v>
                </c:pt>
                <c:pt idx="4">
                  <c:v>119.83</c:v>
                </c:pt>
                <c:pt idx="5">
                  <c:v>111.34</c:v>
                </c:pt>
                <c:pt idx="6">
                  <c:v>115.15</c:v>
                </c:pt>
                <c:pt idx="7">
                  <c:v>105.42</c:v>
                </c:pt>
                <c:pt idx="8">
                  <c:v>109.16</c:v>
                </c:pt>
                <c:pt idx="9">
                  <c:v>99.12</c:v>
                </c:pt>
              </c:numCache>
            </c:numRef>
          </c:val>
          <c:smooth val="0"/>
          <c:extLst>
            <c:ext xmlns:c16="http://schemas.microsoft.com/office/drawing/2014/chart" uri="{C3380CC4-5D6E-409C-BE32-E72D297353CC}">
              <c16:uniqueId val="{00000000-2527-4299-BEBE-E890D107A210}"/>
            </c:ext>
          </c:extLst>
        </c:ser>
        <c:dLbls>
          <c:showLegendKey val="0"/>
          <c:showVal val="0"/>
          <c:showCatName val="0"/>
          <c:showSerName val="0"/>
          <c:showPercent val="0"/>
          <c:showBubbleSize val="0"/>
        </c:dLbls>
        <c:smooth val="0"/>
        <c:axId val="767574495"/>
        <c:axId val="767572095"/>
      </c:lineChart>
      <c:catAx>
        <c:axId val="767574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572095"/>
        <c:crosses val="autoZero"/>
        <c:auto val="1"/>
        <c:lblAlgn val="ctr"/>
        <c:lblOffset val="100"/>
        <c:noMultiLvlLbl val="0"/>
      </c:catAx>
      <c:valAx>
        <c:axId val="767572095"/>
        <c:scaling>
          <c:orientation val="minMax"/>
        </c:scaling>
        <c:delete val="1"/>
        <c:axPos val="l"/>
        <c:numFmt formatCode="0" sourceLinked="1"/>
        <c:majorTickMark val="none"/>
        <c:minorTickMark val="none"/>
        <c:tickLblPos val="nextTo"/>
        <c:crossAx val="767574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Avg Rent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CostofLiving!$C$2</c:f>
              <c:strCache>
                <c:ptCount val="1"/>
                <c:pt idx="0">
                  <c:v>AvgRent</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CostofLiving!$C$3:$C$12</c:f>
              <c:numCache>
                <c:formatCode>0</c:formatCode>
                <c:ptCount val="10"/>
                <c:pt idx="0">
                  <c:v>3272</c:v>
                </c:pt>
                <c:pt idx="1">
                  <c:v>2162</c:v>
                </c:pt>
                <c:pt idx="2">
                  <c:v>1840</c:v>
                </c:pt>
                <c:pt idx="3">
                  <c:v>3419</c:v>
                </c:pt>
                <c:pt idx="4">
                  <c:v>3422</c:v>
                </c:pt>
                <c:pt idx="5">
                  <c:v>2421</c:v>
                </c:pt>
                <c:pt idx="6">
                  <c:v>3016</c:v>
                </c:pt>
                <c:pt idx="7">
                  <c:v>1975</c:v>
                </c:pt>
                <c:pt idx="8">
                  <c:v>1956</c:v>
                </c:pt>
                <c:pt idx="9">
                  <c:v>1991</c:v>
                </c:pt>
              </c:numCache>
            </c:numRef>
          </c:val>
          <c:smooth val="0"/>
          <c:extLst>
            <c:ext xmlns:c16="http://schemas.microsoft.com/office/drawing/2014/chart" uri="{C3380CC4-5D6E-409C-BE32-E72D297353CC}">
              <c16:uniqueId val="{00000000-C7FD-47A1-B493-52F147DC1927}"/>
            </c:ext>
          </c:extLst>
        </c:ser>
        <c:dLbls>
          <c:dLblPos val="t"/>
          <c:showLegendKey val="0"/>
          <c:showVal val="1"/>
          <c:showCatName val="0"/>
          <c:showSerName val="0"/>
          <c:showPercent val="0"/>
          <c:showBubbleSize val="0"/>
        </c:dLbls>
        <c:smooth val="0"/>
        <c:axId val="1480941183"/>
        <c:axId val="1480961343"/>
      </c:lineChart>
      <c:catAx>
        <c:axId val="148094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0961343"/>
        <c:crosses val="autoZero"/>
        <c:auto val="1"/>
        <c:lblAlgn val="ctr"/>
        <c:lblOffset val="100"/>
        <c:noMultiLvlLbl val="0"/>
      </c:catAx>
      <c:valAx>
        <c:axId val="1480961343"/>
        <c:scaling>
          <c:orientation val="minMax"/>
        </c:scaling>
        <c:delete val="1"/>
        <c:axPos val="l"/>
        <c:numFmt formatCode="0" sourceLinked="1"/>
        <c:majorTickMark val="none"/>
        <c:minorTickMark val="none"/>
        <c:tickLblPos val="nextTo"/>
        <c:crossAx val="1480941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CostofLiving!$D$2</c:f>
              <c:strCache>
                <c:ptCount val="1"/>
                <c:pt idx="0">
                  <c:v>Cost of Living</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CostofLiving!$D$3:$D$12</c:f>
              <c:numCache>
                <c:formatCode>0</c:formatCode>
                <c:ptCount val="10"/>
                <c:pt idx="0">
                  <c:v>128</c:v>
                </c:pt>
                <c:pt idx="1">
                  <c:v>124.6</c:v>
                </c:pt>
                <c:pt idx="2">
                  <c:v>106.6</c:v>
                </c:pt>
                <c:pt idx="3">
                  <c:v>132.6</c:v>
                </c:pt>
                <c:pt idx="4">
                  <c:v>178.6</c:v>
                </c:pt>
                <c:pt idx="5">
                  <c:v>120.1</c:v>
                </c:pt>
                <c:pt idx="6">
                  <c:v>136.19999999999999</c:v>
                </c:pt>
                <c:pt idx="7">
                  <c:v>100.1</c:v>
                </c:pt>
                <c:pt idx="8">
                  <c:v>112.1</c:v>
                </c:pt>
                <c:pt idx="9">
                  <c:v>100.3</c:v>
                </c:pt>
              </c:numCache>
            </c:numRef>
          </c:val>
          <c:smooth val="0"/>
          <c:extLst>
            <c:ext xmlns:c16="http://schemas.microsoft.com/office/drawing/2014/chart" uri="{C3380CC4-5D6E-409C-BE32-E72D297353CC}">
              <c16:uniqueId val="{00000000-763B-4E1D-BCB8-EC331E7056D5}"/>
            </c:ext>
          </c:extLst>
        </c:ser>
        <c:dLbls>
          <c:dLblPos val="t"/>
          <c:showLegendKey val="0"/>
          <c:showVal val="1"/>
          <c:showCatName val="0"/>
          <c:showSerName val="0"/>
          <c:showPercent val="0"/>
          <c:showBubbleSize val="0"/>
        </c:dLbls>
        <c:smooth val="0"/>
        <c:axId val="773413695"/>
        <c:axId val="773415135"/>
      </c:lineChart>
      <c:catAx>
        <c:axId val="77341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415135"/>
        <c:crosses val="autoZero"/>
        <c:auto val="1"/>
        <c:lblAlgn val="ctr"/>
        <c:lblOffset val="100"/>
        <c:noMultiLvlLbl val="0"/>
      </c:catAx>
      <c:valAx>
        <c:axId val="773415135"/>
        <c:scaling>
          <c:orientation val="minMax"/>
        </c:scaling>
        <c:delete val="1"/>
        <c:axPos val="l"/>
        <c:numFmt formatCode="0" sourceLinked="1"/>
        <c:majorTickMark val="none"/>
        <c:minorTickMark val="none"/>
        <c:tickLblPos val="nextTo"/>
        <c:crossAx val="77341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CostofLiving!$C$2</c:f>
              <c:strCache>
                <c:ptCount val="1"/>
                <c:pt idx="0">
                  <c:v>AvgRent</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CostofLiving!$C$3:$C$12</c:f>
              <c:numCache>
                <c:formatCode>0</c:formatCode>
                <c:ptCount val="10"/>
                <c:pt idx="0">
                  <c:v>3272</c:v>
                </c:pt>
                <c:pt idx="1">
                  <c:v>2162</c:v>
                </c:pt>
                <c:pt idx="2">
                  <c:v>1840</c:v>
                </c:pt>
                <c:pt idx="3">
                  <c:v>3419</c:v>
                </c:pt>
                <c:pt idx="4">
                  <c:v>3422</c:v>
                </c:pt>
                <c:pt idx="5">
                  <c:v>2421</c:v>
                </c:pt>
                <c:pt idx="6">
                  <c:v>3016</c:v>
                </c:pt>
                <c:pt idx="7">
                  <c:v>1975</c:v>
                </c:pt>
                <c:pt idx="8">
                  <c:v>1956</c:v>
                </c:pt>
                <c:pt idx="9">
                  <c:v>1991</c:v>
                </c:pt>
              </c:numCache>
            </c:numRef>
          </c:val>
          <c:smooth val="0"/>
          <c:extLst>
            <c:ext xmlns:c16="http://schemas.microsoft.com/office/drawing/2014/chart" uri="{C3380CC4-5D6E-409C-BE32-E72D297353CC}">
              <c16:uniqueId val="{00000000-88C9-4F54-8881-7430D061AF18}"/>
            </c:ext>
          </c:extLst>
        </c:ser>
        <c:dLbls>
          <c:dLblPos val="t"/>
          <c:showLegendKey val="0"/>
          <c:showVal val="1"/>
          <c:showCatName val="0"/>
          <c:showSerName val="0"/>
          <c:showPercent val="0"/>
          <c:showBubbleSize val="0"/>
        </c:dLbls>
        <c:smooth val="0"/>
        <c:axId val="1480941183"/>
        <c:axId val="1480961343"/>
      </c:lineChart>
      <c:catAx>
        <c:axId val="148094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0961343"/>
        <c:crosses val="autoZero"/>
        <c:auto val="1"/>
        <c:lblAlgn val="ctr"/>
        <c:lblOffset val="100"/>
        <c:noMultiLvlLbl val="0"/>
      </c:catAx>
      <c:valAx>
        <c:axId val="148096134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0941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CostofLiving!$D$2</c:f>
              <c:strCache>
                <c:ptCount val="1"/>
                <c:pt idx="0">
                  <c:v>Cost of Living</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CostofLiving!$D$3:$D$12</c:f>
              <c:numCache>
                <c:formatCode>0</c:formatCode>
                <c:ptCount val="10"/>
                <c:pt idx="0">
                  <c:v>128</c:v>
                </c:pt>
                <c:pt idx="1">
                  <c:v>124.6</c:v>
                </c:pt>
                <c:pt idx="2">
                  <c:v>106.6</c:v>
                </c:pt>
                <c:pt idx="3">
                  <c:v>132.6</c:v>
                </c:pt>
                <c:pt idx="4">
                  <c:v>178.6</c:v>
                </c:pt>
                <c:pt idx="5">
                  <c:v>120.1</c:v>
                </c:pt>
                <c:pt idx="6">
                  <c:v>136.19999999999999</c:v>
                </c:pt>
                <c:pt idx="7">
                  <c:v>100.1</c:v>
                </c:pt>
                <c:pt idx="8">
                  <c:v>112.1</c:v>
                </c:pt>
                <c:pt idx="9">
                  <c:v>100.3</c:v>
                </c:pt>
              </c:numCache>
            </c:numRef>
          </c:val>
          <c:smooth val="0"/>
          <c:extLst>
            <c:ext xmlns:c16="http://schemas.microsoft.com/office/drawing/2014/chart" uri="{C3380CC4-5D6E-409C-BE32-E72D297353CC}">
              <c16:uniqueId val="{00000000-DAC0-4D30-9E4E-43E1CBD3B8F4}"/>
            </c:ext>
          </c:extLst>
        </c:ser>
        <c:dLbls>
          <c:dLblPos val="t"/>
          <c:showLegendKey val="0"/>
          <c:showVal val="1"/>
          <c:showCatName val="0"/>
          <c:showSerName val="0"/>
          <c:showPercent val="0"/>
          <c:showBubbleSize val="0"/>
        </c:dLbls>
        <c:smooth val="0"/>
        <c:axId val="773413695"/>
        <c:axId val="773415135"/>
      </c:lineChart>
      <c:catAx>
        <c:axId val="773413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415135"/>
        <c:crosses val="autoZero"/>
        <c:auto val="1"/>
        <c:lblAlgn val="ctr"/>
        <c:lblOffset val="100"/>
        <c:noMultiLvlLbl val="0"/>
      </c:catAx>
      <c:valAx>
        <c:axId val="7734151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41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CostofLiving!$E$2</c:f>
              <c:strCache>
                <c:ptCount val="1"/>
                <c:pt idx="0">
                  <c:v>Price Parity</c:v>
                </c:pt>
              </c:strCache>
            </c:strRef>
          </c:tx>
          <c:spPr>
            <a:ln w="28575" cap="rnd">
              <a:solidFill>
                <a:schemeClr val="accent1"/>
              </a:solidFill>
              <a:round/>
            </a:ln>
            <a:effectLst/>
          </c:spPr>
          <c:marker>
            <c:symbol val="none"/>
          </c:marker>
          <c:cat>
            <c:strRef>
              <c:f>CostofLiving!$B$3:$B$12</c:f>
              <c:strCache>
                <c:ptCount val="10"/>
                <c:pt idx="0">
                  <c:v>New York City</c:v>
                </c:pt>
                <c:pt idx="1">
                  <c:v>Seattle</c:v>
                </c:pt>
                <c:pt idx="2">
                  <c:v>Austin</c:v>
                </c:pt>
                <c:pt idx="3">
                  <c:v>Boston</c:v>
                </c:pt>
                <c:pt idx="4">
                  <c:v>San Francisco</c:v>
                </c:pt>
                <c:pt idx="5">
                  <c:v>Washington, D.C.</c:v>
                </c:pt>
                <c:pt idx="6">
                  <c:v>San Diego</c:v>
                </c:pt>
                <c:pt idx="7">
                  <c:v>Chicago</c:v>
                </c:pt>
                <c:pt idx="8">
                  <c:v>Denver</c:v>
                </c:pt>
                <c:pt idx="9">
                  <c:v>Atlanta</c:v>
                </c:pt>
              </c:strCache>
            </c:strRef>
          </c:cat>
          <c:val>
            <c:numRef>
              <c:f>CostofLiving!$E$3:$E$12</c:f>
              <c:numCache>
                <c:formatCode>0</c:formatCode>
                <c:ptCount val="10"/>
                <c:pt idx="0">
                  <c:v>114.58</c:v>
                </c:pt>
                <c:pt idx="1">
                  <c:v>114.57</c:v>
                </c:pt>
                <c:pt idx="2">
                  <c:v>100.04</c:v>
                </c:pt>
                <c:pt idx="3">
                  <c:v>109.69</c:v>
                </c:pt>
                <c:pt idx="4">
                  <c:v>119.83</c:v>
                </c:pt>
                <c:pt idx="5">
                  <c:v>111.34</c:v>
                </c:pt>
                <c:pt idx="6">
                  <c:v>115.15</c:v>
                </c:pt>
                <c:pt idx="7">
                  <c:v>105.42</c:v>
                </c:pt>
                <c:pt idx="8">
                  <c:v>109.16</c:v>
                </c:pt>
                <c:pt idx="9">
                  <c:v>99.12</c:v>
                </c:pt>
              </c:numCache>
            </c:numRef>
          </c:val>
          <c:smooth val="0"/>
          <c:extLst>
            <c:ext xmlns:c16="http://schemas.microsoft.com/office/drawing/2014/chart" uri="{C3380CC4-5D6E-409C-BE32-E72D297353CC}">
              <c16:uniqueId val="{00000000-F2E1-46A3-987C-1A6D3907446C}"/>
            </c:ext>
          </c:extLst>
        </c:ser>
        <c:dLbls>
          <c:showLegendKey val="0"/>
          <c:showVal val="0"/>
          <c:showCatName val="0"/>
          <c:showSerName val="0"/>
          <c:showPercent val="0"/>
          <c:showBubbleSize val="0"/>
        </c:dLbls>
        <c:smooth val="0"/>
        <c:axId val="767574495"/>
        <c:axId val="767572095"/>
      </c:lineChart>
      <c:catAx>
        <c:axId val="767574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572095"/>
        <c:crosses val="autoZero"/>
        <c:auto val="1"/>
        <c:lblAlgn val="ctr"/>
        <c:lblOffset val="100"/>
        <c:noMultiLvlLbl val="0"/>
      </c:catAx>
      <c:valAx>
        <c:axId val="76757209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574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[Group9 Dashboard.xlsm]Income after taxes!PivotTable56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a:t>
            </a:r>
            <a:r>
              <a:rPr lang="en-US" baseline="0"/>
              <a:t> after Taxes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 after taxes'!$B$3</c:f>
              <c:strCache>
                <c:ptCount val="1"/>
                <c:pt idx="0">
                  <c:v>Total</c:v>
                </c:pt>
              </c:strCache>
            </c:strRef>
          </c:tx>
          <c:spPr>
            <a:solidFill>
              <a:schemeClr val="accent1"/>
            </a:solidFill>
            <a:ln>
              <a:noFill/>
            </a:ln>
            <a:effectLst/>
          </c:spPr>
          <c:invertIfNegative val="0"/>
          <c:cat>
            <c:strRef>
              <c:f>'Income after taxes'!$A$4:$A$5</c:f>
              <c:strCache>
                <c:ptCount val="1"/>
                <c:pt idx="0">
                  <c:v>San Francisco</c:v>
                </c:pt>
              </c:strCache>
            </c:strRef>
          </c:cat>
          <c:val>
            <c:numRef>
              <c:f>'Income after taxes'!$B$4:$B$5</c:f>
              <c:numCache>
                <c:formatCode>#,##0</c:formatCode>
                <c:ptCount val="1"/>
                <c:pt idx="0">
                  <c:v>71978</c:v>
                </c:pt>
              </c:numCache>
            </c:numRef>
          </c:val>
          <c:extLst>
            <c:ext xmlns:c16="http://schemas.microsoft.com/office/drawing/2014/chart" uri="{C3380CC4-5D6E-409C-BE32-E72D297353CC}">
              <c16:uniqueId val="{00000000-E5A9-4DD2-93E7-D516D7870790}"/>
            </c:ext>
          </c:extLst>
        </c:ser>
        <c:dLbls>
          <c:showLegendKey val="0"/>
          <c:showVal val="0"/>
          <c:showCatName val="0"/>
          <c:showSerName val="0"/>
          <c:showPercent val="0"/>
          <c:showBubbleSize val="0"/>
        </c:dLbls>
        <c:gapWidth val="219"/>
        <c:overlap val="-27"/>
        <c:axId val="205742880"/>
        <c:axId val="205735200"/>
      </c:barChart>
      <c:catAx>
        <c:axId val="20574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735200"/>
        <c:crosses val="autoZero"/>
        <c:auto val="1"/>
        <c:lblAlgn val="ctr"/>
        <c:lblOffset val="100"/>
        <c:noMultiLvlLbl val="0"/>
      </c:catAx>
      <c:valAx>
        <c:axId val="205735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742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Health!$G$2</c:f>
              <c:strCache>
                <c:ptCount val="1"/>
                <c:pt idx="0">
                  <c:v>Total Cases/1M population</c:v>
                </c:pt>
              </c:strCache>
            </c:strRef>
          </c:tx>
          <c:spPr>
            <a:solidFill>
              <a:schemeClr val="accent1"/>
            </a:solidFill>
            <a:ln>
              <a:noFill/>
            </a:ln>
            <a:effectLst/>
          </c:spPr>
          <c:invertIfNegative val="0"/>
          <c:cat>
            <c:strRef>
              <c:f>Health!$B$3:$B$12</c:f>
              <c:strCache>
                <c:ptCount val="10"/>
                <c:pt idx="0">
                  <c:v>New York City</c:v>
                </c:pt>
                <c:pt idx="1">
                  <c:v>Atlanta</c:v>
                </c:pt>
                <c:pt idx="2">
                  <c:v>Boston</c:v>
                </c:pt>
                <c:pt idx="3">
                  <c:v>Austin</c:v>
                </c:pt>
                <c:pt idx="4">
                  <c:v>Chicago</c:v>
                </c:pt>
                <c:pt idx="5">
                  <c:v>San Francisco</c:v>
                </c:pt>
                <c:pt idx="6">
                  <c:v>San Diego</c:v>
                </c:pt>
                <c:pt idx="7">
                  <c:v>Denver</c:v>
                </c:pt>
                <c:pt idx="8">
                  <c:v>Seattle</c:v>
                </c:pt>
                <c:pt idx="9">
                  <c:v>Washington, D.C.</c:v>
                </c:pt>
              </c:strCache>
            </c:strRef>
          </c:cat>
          <c:val>
            <c:numRef>
              <c:f>Health!$G$3:$G$12</c:f>
              <c:numCache>
                <c:formatCode>General</c:formatCode>
                <c:ptCount val="10"/>
                <c:pt idx="0">
                  <c:v>390050</c:v>
                </c:pt>
                <c:pt idx="1">
                  <c:v>309631</c:v>
                </c:pt>
                <c:pt idx="2">
                  <c:v>343495</c:v>
                </c:pt>
                <c:pt idx="3">
                  <c:v>316952</c:v>
                </c:pt>
                <c:pt idx="4">
                  <c:v>326446</c:v>
                </c:pt>
                <c:pt idx="5">
                  <c:v>321721</c:v>
                </c:pt>
                <c:pt idx="6">
                  <c:v>321721</c:v>
                </c:pt>
                <c:pt idx="7">
                  <c:v>325548</c:v>
                </c:pt>
                <c:pt idx="8">
                  <c:v>271947</c:v>
                </c:pt>
                <c:pt idx="9">
                  <c:v>253273</c:v>
                </c:pt>
              </c:numCache>
            </c:numRef>
          </c:val>
          <c:extLst>
            <c:ext xmlns:c16="http://schemas.microsoft.com/office/drawing/2014/chart" uri="{C3380CC4-5D6E-409C-BE32-E72D297353CC}">
              <c16:uniqueId val="{00000000-4B13-6141-B30B-14CF3CE087D7}"/>
            </c:ext>
          </c:extLst>
        </c:ser>
        <c:dLbls>
          <c:showLegendKey val="0"/>
          <c:showVal val="0"/>
          <c:showCatName val="0"/>
          <c:showSerName val="0"/>
          <c:showPercent val="0"/>
          <c:showBubbleSize val="0"/>
        </c:dLbls>
        <c:gapWidth val="182"/>
        <c:axId val="713442783"/>
        <c:axId val="841848719"/>
      </c:barChart>
      <c:catAx>
        <c:axId val="713442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848719"/>
        <c:crosses val="autoZero"/>
        <c:auto val="1"/>
        <c:lblAlgn val="ctr"/>
        <c:lblOffset val="100"/>
        <c:noMultiLvlLbl val="0"/>
      </c:catAx>
      <c:valAx>
        <c:axId val="841848719"/>
        <c:scaling>
          <c:orientation val="minMax"/>
        </c:scaling>
        <c:delete val="1"/>
        <c:axPos val="b"/>
        <c:numFmt formatCode="General" sourceLinked="1"/>
        <c:majorTickMark val="none"/>
        <c:minorTickMark val="none"/>
        <c:tickLblPos val="nextTo"/>
        <c:crossAx val="7134427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Health!$F$2</c:f>
              <c:strCache>
                <c:ptCount val="1"/>
                <c:pt idx="0">
                  <c:v>Death/Case</c:v>
                </c:pt>
              </c:strCache>
            </c:strRef>
          </c:tx>
          <c:spPr>
            <a:solidFill>
              <a:schemeClr val="accent1"/>
            </a:solidFill>
            <a:ln>
              <a:noFill/>
            </a:ln>
            <a:effectLst/>
          </c:spPr>
          <c:invertIfNegative val="0"/>
          <c:cat>
            <c:strRef>
              <c:f>Health!$B$3:$B$12</c:f>
              <c:strCache>
                <c:ptCount val="10"/>
                <c:pt idx="0">
                  <c:v>New York City</c:v>
                </c:pt>
                <c:pt idx="1">
                  <c:v>Atlanta</c:v>
                </c:pt>
                <c:pt idx="2">
                  <c:v>Boston</c:v>
                </c:pt>
                <c:pt idx="3">
                  <c:v>Austin</c:v>
                </c:pt>
                <c:pt idx="4">
                  <c:v>Chicago</c:v>
                </c:pt>
                <c:pt idx="5">
                  <c:v>San Francisco</c:v>
                </c:pt>
                <c:pt idx="6">
                  <c:v>San Diego</c:v>
                </c:pt>
                <c:pt idx="7">
                  <c:v>Denver</c:v>
                </c:pt>
                <c:pt idx="8">
                  <c:v>Seattle</c:v>
                </c:pt>
                <c:pt idx="9">
                  <c:v>Washington, D.C.</c:v>
                </c:pt>
              </c:strCache>
            </c:strRef>
          </c:cat>
          <c:val>
            <c:numRef>
              <c:f>Health!$F$3:$F$12</c:f>
              <c:numCache>
                <c:formatCode>0.0%</c:formatCode>
                <c:ptCount val="10"/>
                <c:pt idx="0">
                  <c:v>1.098781329810865E-2</c:v>
                </c:pt>
                <c:pt idx="1">
                  <c:v>1.3405088330494789E-2</c:v>
                </c:pt>
                <c:pt idx="2">
                  <c:v>1.0806988851728924E-2</c:v>
                </c:pt>
                <c:pt idx="3">
                  <c:v>1.1402566989387396E-2</c:v>
                </c:pt>
                <c:pt idx="4">
                  <c:v>1.0154329858951391E-2</c:v>
                </c:pt>
                <c:pt idx="5">
                  <c:v>8.8454787074617701E-3</c:v>
                </c:pt>
                <c:pt idx="6">
                  <c:v>8.8454787074617701E-3</c:v>
                </c:pt>
                <c:pt idx="7">
                  <c:v>8.2955237669529638E-3</c:v>
                </c:pt>
                <c:pt idx="8">
                  <c:v>8.3728984454677496E-3</c:v>
                </c:pt>
                <c:pt idx="9">
                  <c:v>8.0225122659401283E-3</c:v>
                </c:pt>
              </c:numCache>
            </c:numRef>
          </c:val>
          <c:extLst>
            <c:ext xmlns:c16="http://schemas.microsoft.com/office/drawing/2014/chart" uri="{C3380CC4-5D6E-409C-BE32-E72D297353CC}">
              <c16:uniqueId val="{00000000-E2AA-2848-A03E-68C550658DEB}"/>
            </c:ext>
          </c:extLst>
        </c:ser>
        <c:dLbls>
          <c:showLegendKey val="0"/>
          <c:showVal val="0"/>
          <c:showCatName val="0"/>
          <c:showSerName val="0"/>
          <c:showPercent val="0"/>
          <c:showBubbleSize val="0"/>
        </c:dLbls>
        <c:gapWidth val="182"/>
        <c:axId val="1689714112"/>
        <c:axId val="1690037936"/>
      </c:barChart>
      <c:catAx>
        <c:axId val="1689714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0037936"/>
        <c:crosses val="autoZero"/>
        <c:auto val="1"/>
        <c:lblAlgn val="ctr"/>
        <c:lblOffset val="100"/>
        <c:noMultiLvlLbl val="0"/>
      </c:catAx>
      <c:valAx>
        <c:axId val="1690037936"/>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71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_xlchart.v1.4</cx:f>
      </cx:numDim>
    </cx:data>
    <cx:data id="2">
      <cx:strDim type="cat">
        <cx:f>_xlchart.v1.0</cx:f>
      </cx:strDim>
      <cx:numDim type="val">
        <cx:f>_xlchart.v1.6</cx:f>
      </cx:numDim>
    </cx:data>
    <cx:data id="3">
      <cx:strDim type="cat">
        <cx:f>_xlchart.v1.0</cx:f>
      </cx:strDim>
      <cx:numDim type="val">
        <cx:f>_xlchart.v1.8</cx:f>
      </cx:numDim>
    </cx:data>
    <cx:data id="4">
      <cx:strDim type="cat">
        <cx:f>_xlchart.v1.0</cx:f>
      </cx:strDim>
      <cx:numDim type="val">
        <cx:f>_xlchart.v1.10</cx:f>
      </cx:numDim>
    </cx:data>
  </cx:chartData>
  <cx:chart>
    <cx:title pos="t" align="ctr" overlay="0">
      <cx:tx>
        <cx:txData>
          <cx:v>Sports Score Comparison</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Sports Score Comparison</a:t>
          </a:r>
        </a:p>
      </cx:txPr>
    </cx:title>
    <cx:plotArea>
      <cx:plotAreaRegion>
        <cx:series layoutId="waterfall" uniqueId="{A14DE737-E470-42A2-8591-1237AC28CFD0}" formatIdx="0">
          <cx:tx>
            <cx:txData>
              <cx:f>_xlchart.v1.1</cx:f>
              <cx:v>Total Score</cx:v>
            </cx:txData>
          </cx:tx>
          <cx:dataLabels pos="outEnd">
            <cx:visibility seriesName="0" categoryName="0" value="1"/>
          </cx:dataLabels>
          <cx:dataId val="0"/>
          <cx:layoutPr>
            <cx:subtotals/>
          </cx:layoutPr>
        </cx:series>
        <cx:series layoutId="waterfall" hidden="1" uniqueId="{E633FF71-A25E-46EB-AE98-1071777E6160}" formatIdx="1">
          <cx:tx>
            <cx:txData>
              <cx:f>_xlchart.v1.3</cx:f>
              <cx:v>Football Rank</cx:v>
            </cx:txData>
          </cx:tx>
          <cx:dataLabels pos="outEnd">
            <cx:visibility seriesName="0" categoryName="0" value="1"/>
          </cx:dataLabels>
          <cx:dataId val="1"/>
          <cx:layoutPr>
            <cx:subtotals/>
          </cx:layoutPr>
        </cx:series>
        <cx:series layoutId="waterfall" hidden="1" uniqueId="{F69A0666-F590-43D8-A6E9-486537F6DE29}" formatIdx="2">
          <cx:tx>
            <cx:txData>
              <cx:f>_xlchart.v1.5</cx:f>
              <cx:v>Baseball Rank</cx:v>
            </cx:txData>
          </cx:tx>
          <cx:dataLabels pos="outEnd">
            <cx:visibility seriesName="0" categoryName="0" value="1"/>
          </cx:dataLabels>
          <cx:dataId val="2"/>
          <cx:layoutPr>
            <cx:subtotals/>
          </cx:layoutPr>
        </cx:series>
        <cx:series layoutId="waterfall" hidden="1" uniqueId="{3681119B-5588-4FFC-8272-3B77995289BF}" formatIdx="3">
          <cx:tx>
            <cx:txData>
              <cx:f>_xlchart.v1.7</cx:f>
              <cx:v>Basketball Rank</cx:v>
            </cx:txData>
          </cx:tx>
          <cx:dataLabels pos="outEnd">
            <cx:visibility seriesName="0" categoryName="0" value="1"/>
          </cx:dataLabels>
          <cx:dataId val="3"/>
          <cx:layoutPr>
            <cx:subtotals/>
          </cx:layoutPr>
        </cx:series>
        <cx:series layoutId="waterfall" hidden="1" uniqueId="{07AA9AC0-64A7-49FC-AC20-F151A8B4A4AE}" formatIdx="4">
          <cx:tx>
            <cx:txData>
              <cx:f>_xlchart.v1.9</cx:f>
              <cx:v>Soccer Rank</cx:v>
            </cx:txData>
          </cx:tx>
          <cx:dataLabels pos="outEnd">
            <cx:visibility seriesName="0" categoryName="0" value="1"/>
          </cx:dataLabels>
          <cx:dataId val="4"/>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700" baseline="0"/>
            </a:pPr>
            <a:endParaRPr lang="en-US" sz="700" b="0" i="0" u="none" strike="noStrike" baseline="0">
              <a:solidFill>
                <a:sysClr val="windowText" lastClr="000000">
                  <a:lumMod val="65000"/>
                  <a:lumOff val="35000"/>
                </a:sysClr>
              </a:solidFill>
              <a:latin typeface="Aptos Narrow" panose="02110004020202020204"/>
            </a:endParaRPr>
          </a:p>
        </cx:txPr>
      </cx:axis>
      <cx:axis id="1">
        <cx:valScaling/>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val">
        <cx:f>_xlchart.v1.13</cx:f>
      </cx:numDim>
    </cx:data>
    <cx:data id="1">
      <cx:strDim type="cat">
        <cx:f>_xlchart.v1.11</cx:f>
      </cx:strDim>
      <cx:numDim type="val">
        <cx:f>_xlchart.v1.15</cx:f>
      </cx:numDim>
    </cx:data>
    <cx:data id="2">
      <cx:strDim type="cat">
        <cx:f>_xlchart.v1.11</cx:f>
      </cx:strDim>
      <cx:numDim type="val">
        <cx:f>_xlchart.v1.17</cx:f>
      </cx:numDim>
    </cx:data>
    <cx:data id="3">
      <cx:strDim type="cat">
        <cx:f>_xlchart.v1.11</cx:f>
      </cx:strDim>
      <cx:numDim type="val">
        <cx:f>_xlchart.v1.19</cx:f>
      </cx:numDim>
    </cx:data>
    <cx:data id="4">
      <cx:strDim type="cat">
        <cx:f>_xlchart.v1.11</cx:f>
      </cx:strDim>
      <cx:numDim type="val">
        <cx:f>_xlchart.v1.21</cx:f>
      </cx:numDim>
    </cx:data>
  </cx:chartData>
  <cx:chart>
    <cx:title pos="t" align="ctr" overlay="0"/>
    <cx:plotArea>
      <cx:plotAreaRegion>
        <cx:series layoutId="waterfall" uniqueId="{A14DE737-E470-42A2-8591-1237AC28CFD0}" formatIdx="0">
          <cx:tx>
            <cx:txData>
              <cx:f>_xlchart.v1.12</cx:f>
              <cx:v>Total Score</cx:v>
            </cx:txData>
          </cx:tx>
          <cx:dataLabels pos="outEnd">
            <cx:visibility seriesName="0" categoryName="0" value="1"/>
          </cx:dataLabels>
          <cx:dataId val="0"/>
          <cx:layoutPr>
            <cx:subtotals/>
          </cx:layoutPr>
        </cx:series>
        <cx:series layoutId="waterfall" hidden="1" uniqueId="{E633FF71-A25E-46EB-AE98-1071777E6160}" formatIdx="1">
          <cx:tx>
            <cx:txData>
              <cx:f>_xlchart.v1.14</cx:f>
              <cx:v>Football Rank</cx:v>
            </cx:txData>
          </cx:tx>
          <cx:dataLabels pos="outEnd">
            <cx:visibility seriesName="0" categoryName="0" value="1"/>
          </cx:dataLabels>
          <cx:dataId val="1"/>
          <cx:layoutPr>
            <cx:subtotals/>
          </cx:layoutPr>
        </cx:series>
        <cx:series layoutId="waterfall" hidden="1" uniqueId="{F69A0666-F590-43D8-A6E9-486537F6DE29}" formatIdx="2">
          <cx:tx>
            <cx:txData>
              <cx:f>_xlchart.v1.16</cx:f>
              <cx:v>Baseball Rank</cx:v>
            </cx:txData>
          </cx:tx>
          <cx:dataLabels pos="outEnd">
            <cx:visibility seriesName="0" categoryName="0" value="1"/>
          </cx:dataLabels>
          <cx:dataId val="2"/>
          <cx:layoutPr>
            <cx:subtotals/>
          </cx:layoutPr>
        </cx:series>
        <cx:series layoutId="waterfall" hidden="1" uniqueId="{3681119B-5588-4FFC-8272-3B77995289BF}" formatIdx="3">
          <cx:tx>
            <cx:txData>
              <cx:f>_xlchart.v1.18</cx:f>
              <cx:v>Basketball Rank</cx:v>
            </cx:txData>
          </cx:tx>
          <cx:dataLabels pos="outEnd">
            <cx:visibility seriesName="0" categoryName="0" value="1"/>
          </cx:dataLabels>
          <cx:dataId val="3"/>
          <cx:layoutPr>
            <cx:subtotals/>
          </cx:layoutPr>
        </cx:series>
        <cx:series layoutId="waterfall" hidden="1" uniqueId="{07AA9AC0-64A7-49FC-AC20-F151A8B4A4AE}" formatIdx="4">
          <cx:tx>
            <cx:txData>
              <cx:f>_xlchart.v1.20</cx:f>
              <cx:v>Soccer Rank</cx:v>
            </cx:txData>
          </cx:tx>
          <cx:dataLabels pos="outEnd">
            <cx:visibility seriesName="0" categoryName="0" value="1"/>
          </cx:dataLabels>
          <cx:dataId val="4"/>
          <cx:layoutPr>
            <cx:subtotals/>
          </cx:layoutPr>
        </cx:series>
      </cx:plotAreaRegion>
      <cx:axis id="0">
        <cx:catScaling gapWidth="0.5"/>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5.svg"/><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3.svg"/><Relationship Id="rId5" Type="http://schemas.microsoft.com/office/2014/relationships/chartEx" Target="../charts/chartEx1.xml"/><Relationship Id="rId15" Type="http://schemas.openxmlformats.org/officeDocument/2006/relationships/image" Target="../media/image7.svg"/><Relationship Id="rId10" Type="http://schemas.openxmlformats.org/officeDocument/2006/relationships/image" Target="../media/image2.png"/><Relationship Id="rId4" Type="http://schemas.openxmlformats.org/officeDocument/2006/relationships/chart" Target="../charts/chart4.xml"/><Relationship Id="rId9" Type="http://schemas.openxmlformats.org/officeDocument/2006/relationships/chart" Target="../charts/chart7.xml"/><Relationship Id="rId1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1</xdr:col>
      <xdr:colOff>326530</xdr:colOff>
      <xdr:row>7</xdr:row>
      <xdr:rowOff>105258</xdr:rowOff>
    </xdr:from>
    <xdr:to>
      <xdr:col>2</xdr:col>
      <xdr:colOff>501650</xdr:colOff>
      <xdr:row>14</xdr:row>
      <xdr:rowOff>114300</xdr:rowOff>
    </xdr:to>
    <xdr:graphicFrame macro="">
      <xdr:nvGraphicFramePr>
        <xdr:cNvPr id="5" name="Chart 2">
          <a:extLst>
            <a:ext uri="{FF2B5EF4-FFF2-40B4-BE49-F238E27FC236}">
              <a16:creationId xmlns:a16="http://schemas.microsoft.com/office/drawing/2014/main" id="{AEC699DB-8C32-D182-6DC1-8437CF2E5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1030879</xdr:colOff>
      <xdr:row>7</xdr:row>
      <xdr:rowOff>111607</xdr:rowOff>
    </xdr:from>
    <xdr:to>
      <xdr:col>3</xdr:col>
      <xdr:colOff>1192166</xdr:colOff>
      <xdr:row>14</xdr:row>
      <xdr:rowOff>126042</xdr:rowOff>
    </xdr:to>
    <xdr:graphicFrame macro="">
      <xdr:nvGraphicFramePr>
        <xdr:cNvPr id="6" name="Chart 2">
          <a:extLst>
            <a:ext uri="{FF2B5EF4-FFF2-40B4-BE49-F238E27FC236}">
              <a16:creationId xmlns:a16="http://schemas.microsoft.com/office/drawing/2014/main" id="{DEAF905E-1CF9-3EFF-154B-6E84A0A5D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96354</xdr:colOff>
      <xdr:row>16</xdr:row>
      <xdr:rowOff>188291</xdr:rowOff>
    </xdr:from>
    <xdr:to>
      <xdr:col>9</xdr:col>
      <xdr:colOff>1409701</xdr:colOff>
      <xdr:row>29</xdr:row>
      <xdr:rowOff>8282</xdr:rowOff>
    </xdr:to>
    <xdr:graphicFrame macro="">
      <xdr:nvGraphicFramePr>
        <xdr:cNvPr id="7" name="Chart 2">
          <a:extLst>
            <a:ext uri="{FF2B5EF4-FFF2-40B4-BE49-F238E27FC236}">
              <a16:creationId xmlns:a16="http://schemas.microsoft.com/office/drawing/2014/main" id="{BFA2E367-1154-04B9-8AA0-5238A38C2A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558800</xdr:colOff>
      <xdr:row>2</xdr:row>
      <xdr:rowOff>96630</xdr:rowOff>
    </xdr:from>
    <xdr:to>
      <xdr:col>10</xdr:col>
      <xdr:colOff>1901552</xdr:colOff>
      <xdr:row>14</xdr:row>
      <xdr:rowOff>16841</xdr:rowOff>
    </xdr:to>
    <xdr:graphicFrame macro="">
      <xdr:nvGraphicFramePr>
        <xdr:cNvPr id="2" name="Chart 1">
          <a:extLst>
            <a:ext uri="{FF2B5EF4-FFF2-40B4-BE49-F238E27FC236}">
              <a16:creationId xmlns:a16="http://schemas.microsoft.com/office/drawing/2014/main" id="{2505FC8C-9E44-4986-A378-3732256A35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1932612</xdr:colOff>
      <xdr:row>2</xdr:row>
      <xdr:rowOff>103535</xdr:rowOff>
    </xdr:from>
    <xdr:to>
      <xdr:col>12</xdr:col>
      <xdr:colOff>10359</xdr:colOff>
      <xdr:row>14</xdr:row>
      <xdr:rowOff>6350</xdr:rowOff>
    </xdr:to>
    <mc:AlternateContent xmlns:mc="http://schemas.openxmlformats.org/markup-compatibility/2006" xmlns:a14="http://schemas.microsoft.com/office/drawing/2010/main">
      <mc:Choice Requires="a14">
        <xdr:graphicFrame macro="">
          <xdr:nvGraphicFramePr>
            <xdr:cNvPr id="3" name="City 2">
              <a:extLst>
                <a:ext uri="{FF2B5EF4-FFF2-40B4-BE49-F238E27FC236}">
                  <a16:creationId xmlns:a16="http://schemas.microsoft.com/office/drawing/2014/main" id="{04394240-3A79-4046-8E87-EC13701F23CD}"/>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11333373" y="631551"/>
              <a:ext cx="1111251" cy="2626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18</xdr:row>
      <xdr:rowOff>219765</xdr:rowOff>
    </xdr:from>
    <xdr:to>
      <xdr:col>3</xdr:col>
      <xdr:colOff>1676400</xdr:colOff>
      <xdr:row>30</xdr:row>
      <xdr:rowOff>26504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FF2F342E-346A-4A99-B1D1-C54C19E038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4300" y="4537765"/>
              <a:ext cx="4495800" cy="266423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678073</xdr:colOff>
      <xdr:row>16</xdr:row>
      <xdr:rowOff>170732</xdr:rowOff>
    </xdr:from>
    <xdr:to>
      <xdr:col>10</xdr:col>
      <xdr:colOff>1277095</xdr:colOff>
      <xdr:row>19</xdr:row>
      <xdr:rowOff>104243</xdr:rowOff>
    </xdr:to>
    <xdr:pic>
      <xdr:nvPicPr>
        <xdr:cNvPr id="9" name="Picture 8">
          <a:extLst>
            <a:ext uri="{FF2B5EF4-FFF2-40B4-BE49-F238E27FC236}">
              <a16:creationId xmlns:a16="http://schemas.microsoft.com/office/drawing/2014/main" id="{5CC1BEC1-48EA-EDA4-2F7F-E2DCCF6DC9D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088773" y="3818808"/>
          <a:ext cx="599022" cy="609785"/>
        </a:xfrm>
        <a:prstGeom prst="rect">
          <a:avLst/>
        </a:prstGeom>
      </xdr:spPr>
    </xdr:pic>
    <xdr:clientData/>
  </xdr:twoCellAnchor>
  <xdr:twoCellAnchor>
    <xdr:from>
      <xdr:col>6</xdr:col>
      <xdr:colOff>114300</xdr:colOff>
      <xdr:row>2</xdr:row>
      <xdr:rowOff>114300</xdr:rowOff>
    </xdr:from>
    <xdr:to>
      <xdr:col>10</xdr:col>
      <xdr:colOff>482862</xdr:colOff>
      <xdr:row>14</xdr:row>
      <xdr:rowOff>12700</xdr:rowOff>
    </xdr:to>
    <xdr:graphicFrame macro="">
      <xdr:nvGraphicFramePr>
        <xdr:cNvPr id="12" name="Price Parity" hidden="1">
          <a:extLst>
            <a:ext uri="{FF2B5EF4-FFF2-40B4-BE49-F238E27FC236}">
              <a16:creationId xmlns:a16="http://schemas.microsoft.com/office/drawing/2014/main" id="{A18B21B9-1BFA-4892-A63D-A9CFBEB078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119932</xdr:colOff>
      <xdr:row>2</xdr:row>
      <xdr:rowOff>127000</xdr:rowOff>
    </xdr:from>
    <xdr:to>
      <xdr:col>10</xdr:col>
      <xdr:colOff>469900</xdr:colOff>
      <xdr:row>14</xdr:row>
      <xdr:rowOff>0</xdr:rowOff>
    </xdr:to>
    <xdr:graphicFrame macro="">
      <xdr:nvGraphicFramePr>
        <xdr:cNvPr id="4" name="Avg Rent">
          <a:extLst>
            <a:ext uri="{FF2B5EF4-FFF2-40B4-BE49-F238E27FC236}">
              <a16:creationId xmlns:a16="http://schemas.microsoft.com/office/drawing/2014/main" id="{DCC01948-8517-4A9D-A985-6BEB9807F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113818</xdr:colOff>
      <xdr:row>2</xdr:row>
      <xdr:rowOff>111125</xdr:rowOff>
    </xdr:from>
    <xdr:to>
      <xdr:col>10</xdr:col>
      <xdr:colOff>469900</xdr:colOff>
      <xdr:row>14</xdr:row>
      <xdr:rowOff>12700</xdr:rowOff>
    </xdr:to>
    <xdr:graphicFrame macro="">
      <xdr:nvGraphicFramePr>
        <xdr:cNvPr id="10" name="Cost of Living" hidden="1">
          <a:extLst>
            <a:ext uri="{FF2B5EF4-FFF2-40B4-BE49-F238E27FC236}">
              <a16:creationId xmlns:a16="http://schemas.microsoft.com/office/drawing/2014/main" id="{6CF03CDC-DEBB-4A9F-8916-E5FCFC71E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63500</xdr:colOff>
      <xdr:row>1</xdr:row>
      <xdr:rowOff>240704</xdr:rowOff>
    </xdr:from>
    <xdr:to>
      <xdr:col>6</xdr:col>
      <xdr:colOff>38100</xdr:colOff>
      <xdr:row>5</xdr:row>
      <xdr:rowOff>54428</xdr:rowOff>
    </xdr:to>
    <xdr:grpSp>
      <xdr:nvGrpSpPr>
        <xdr:cNvPr id="20" name="Group 19">
          <a:extLst>
            <a:ext uri="{FF2B5EF4-FFF2-40B4-BE49-F238E27FC236}">
              <a16:creationId xmlns:a16="http://schemas.microsoft.com/office/drawing/2014/main" id="{C868BFB5-5F52-CAA2-7212-26B769E12BD6}"/>
            </a:ext>
          </a:extLst>
        </xdr:cNvPr>
        <xdr:cNvGrpSpPr/>
      </xdr:nvGrpSpPr>
      <xdr:grpSpPr>
        <a:xfrm>
          <a:off x="4889500" y="440275"/>
          <a:ext cx="836386" cy="884153"/>
          <a:chOff x="15862300" y="1158733"/>
          <a:chExt cx="952500" cy="695467"/>
        </a:xfrm>
      </xdr:grpSpPr>
      <xdr:sp macro="[0]!Avg_Rent" textlink="">
        <xdr:nvSpPr>
          <xdr:cNvPr id="13" name="Rectangle 12">
            <a:extLst>
              <a:ext uri="{FF2B5EF4-FFF2-40B4-BE49-F238E27FC236}">
                <a16:creationId xmlns:a16="http://schemas.microsoft.com/office/drawing/2014/main" id="{A1FA465F-D6A2-80FB-3EB1-0411AD96B099}"/>
              </a:ext>
            </a:extLst>
          </xdr:cNvPr>
          <xdr:cNvSpPr/>
        </xdr:nvSpPr>
        <xdr:spPr>
          <a:xfrm>
            <a:off x="15862300" y="1473200"/>
            <a:ext cx="952500" cy="381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solidFill>
                  <a:schemeClr val="tx2"/>
                </a:solidFill>
              </a:rPr>
              <a:t>Avg Rent</a:t>
            </a:r>
          </a:p>
        </xdr:txBody>
      </xdr:sp>
      <xdr:pic macro="[0]!Avg_Rent">
        <xdr:nvPicPr>
          <xdr:cNvPr id="11" name="Graphic 10" descr="Home with solid fill">
            <a:extLst>
              <a:ext uri="{FF2B5EF4-FFF2-40B4-BE49-F238E27FC236}">
                <a16:creationId xmlns:a16="http://schemas.microsoft.com/office/drawing/2014/main" id="{CE9FC824-4BF2-00E6-B273-C98AE3F383A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102445" y="1158733"/>
            <a:ext cx="494431" cy="477528"/>
          </a:xfrm>
          <a:prstGeom prst="rect">
            <a:avLst/>
          </a:prstGeom>
        </xdr:spPr>
      </xdr:pic>
    </xdr:grpSp>
    <xdr:clientData/>
  </xdr:twoCellAnchor>
  <xdr:twoCellAnchor>
    <xdr:from>
      <xdr:col>5</xdr:col>
      <xdr:colOff>54428</xdr:colOff>
      <xdr:row>5</xdr:row>
      <xdr:rowOff>128219</xdr:rowOff>
    </xdr:from>
    <xdr:to>
      <xdr:col>6</xdr:col>
      <xdr:colOff>29028</xdr:colOff>
      <xdr:row>8</xdr:row>
      <xdr:rowOff>36286</xdr:rowOff>
    </xdr:to>
    <xdr:grpSp>
      <xdr:nvGrpSpPr>
        <xdr:cNvPr id="23" name="Group 22">
          <a:extLst>
            <a:ext uri="{FF2B5EF4-FFF2-40B4-BE49-F238E27FC236}">
              <a16:creationId xmlns:a16="http://schemas.microsoft.com/office/drawing/2014/main" id="{EA083C82-36A7-46CD-66EB-2109DE922631}"/>
            </a:ext>
          </a:extLst>
        </xdr:cNvPr>
        <xdr:cNvGrpSpPr/>
      </xdr:nvGrpSpPr>
      <xdr:grpSpPr>
        <a:xfrm>
          <a:off x="4880428" y="1398219"/>
          <a:ext cx="836386" cy="933138"/>
          <a:chOff x="15862300" y="2149333"/>
          <a:chExt cx="952500" cy="695467"/>
        </a:xfrm>
      </xdr:grpSpPr>
      <xdr:sp macro="[0]!Cost_Of_Living" textlink="">
        <xdr:nvSpPr>
          <xdr:cNvPr id="14" name="Rectangle 13">
            <a:extLst>
              <a:ext uri="{FF2B5EF4-FFF2-40B4-BE49-F238E27FC236}">
                <a16:creationId xmlns:a16="http://schemas.microsoft.com/office/drawing/2014/main" id="{0BD59B1E-7BC3-9758-DC6D-C1A052054E72}"/>
              </a:ext>
            </a:extLst>
          </xdr:cNvPr>
          <xdr:cNvSpPr/>
        </xdr:nvSpPr>
        <xdr:spPr>
          <a:xfrm>
            <a:off x="15862300" y="2463800"/>
            <a:ext cx="952500" cy="381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solidFill>
                  <a:schemeClr val="tx2"/>
                </a:solidFill>
              </a:rPr>
              <a:t>Cost of</a:t>
            </a:r>
            <a:r>
              <a:rPr lang="en-US" sz="1100" b="1" baseline="0">
                <a:solidFill>
                  <a:schemeClr val="tx2"/>
                </a:solidFill>
              </a:rPr>
              <a:t> Living</a:t>
            </a:r>
            <a:endParaRPr lang="en-US" sz="1100" b="1">
              <a:solidFill>
                <a:schemeClr val="tx2"/>
              </a:solidFill>
            </a:endParaRPr>
          </a:p>
        </xdr:txBody>
      </xdr:sp>
      <xdr:pic macro="[0]!Cost_Of_Living">
        <xdr:nvPicPr>
          <xdr:cNvPr id="17" name="Graphic 16">
            <a:extLst>
              <a:ext uri="{FF2B5EF4-FFF2-40B4-BE49-F238E27FC236}">
                <a16:creationId xmlns:a16="http://schemas.microsoft.com/office/drawing/2014/main" id="{539242E9-E163-FC3F-72A0-E1742230963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6110896" y="2149333"/>
            <a:ext cx="477528" cy="477528"/>
          </a:xfrm>
          <a:prstGeom prst="rect">
            <a:avLst/>
          </a:prstGeom>
        </xdr:spPr>
      </xdr:pic>
    </xdr:grpSp>
    <xdr:clientData/>
  </xdr:twoCellAnchor>
  <xdr:twoCellAnchor>
    <xdr:from>
      <xdr:col>5</xdr:col>
      <xdr:colOff>54429</xdr:colOff>
      <xdr:row>8</xdr:row>
      <xdr:rowOff>113705</xdr:rowOff>
    </xdr:from>
    <xdr:to>
      <xdr:col>6</xdr:col>
      <xdr:colOff>29029</xdr:colOff>
      <xdr:row>13</xdr:row>
      <xdr:rowOff>45357</xdr:rowOff>
    </xdr:to>
    <xdr:grpSp>
      <xdr:nvGrpSpPr>
        <xdr:cNvPr id="22" name="Group 21">
          <a:extLst>
            <a:ext uri="{FF2B5EF4-FFF2-40B4-BE49-F238E27FC236}">
              <a16:creationId xmlns:a16="http://schemas.microsoft.com/office/drawing/2014/main" id="{6583D1CF-B70F-B8FC-ED44-81F03A13A1F1}"/>
            </a:ext>
          </a:extLst>
        </xdr:cNvPr>
        <xdr:cNvGrpSpPr/>
      </xdr:nvGrpSpPr>
      <xdr:grpSpPr>
        <a:xfrm>
          <a:off x="4880429" y="2408776"/>
          <a:ext cx="836386" cy="929510"/>
          <a:chOff x="15862300" y="3178033"/>
          <a:chExt cx="952500" cy="695467"/>
        </a:xfrm>
      </xdr:grpSpPr>
      <xdr:sp macro="[0]!Price_Parity" textlink="">
        <xdr:nvSpPr>
          <xdr:cNvPr id="18" name="Rectangle 17">
            <a:extLst>
              <a:ext uri="{FF2B5EF4-FFF2-40B4-BE49-F238E27FC236}">
                <a16:creationId xmlns:a16="http://schemas.microsoft.com/office/drawing/2014/main" id="{86113CB2-7BC7-09C0-5431-A2C08CAE377F}"/>
              </a:ext>
            </a:extLst>
          </xdr:cNvPr>
          <xdr:cNvSpPr/>
        </xdr:nvSpPr>
        <xdr:spPr>
          <a:xfrm>
            <a:off x="15862300" y="3492500"/>
            <a:ext cx="952500" cy="381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solidFill>
                  <a:schemeClr val="tx2"/>
                </a:solidFill>
              </a:rPr>
              <a:t>Price Parity</a:t>
            </a:r>
          </a:p>
        </xdr:txBody>
      </xdr:sp>
      <xdr:pic macro="[0]!Price_Parity">
        <xdr:nvPicPr>
          <xdr:cNvPr id="19" name="Graphic 18">
            <a:extLst>
              <a:ext uri="{FF2B5EF4-FFF2-40B4-BE49-F238E27FC236}">
                <a16:creationId xmlns:a16="http://schemas.microsoft.com/office/drawing/2014/main" id="{A772D3E6-431B-D8D1-8FB3-1D3843ED128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110896" y="3178033"/>
            <a:ext cx="477528" cy="4775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330200</xdr:colOff>
      <xdr:row>1</xdr:row>
      <xdr:rowOff>47625</xdr:rowOff>
    </xdr:from>
    <xdr:to>
      <xdr:col>12</xdr:col>
      <xdr:colOff>342900</xdr:colOff>
      <xdr:row>13</xdr:row>
      <xdr:rowOff>177800</xdr:rowOff>
    </xdr:to>
    <xdr:graphicFrame macro="">
      <xdr:nvGraphicFramePr>
        <xdr:cNvPr id="10" name="Chart 9">
          <a:extLst>
            <a:ext uri="{FF2B5EF4-FFF2-40B4-BE49-F238E27FC236}">
              <a16:creationId xmlns:a16="http://schemas.microsoft.com/office/drawing/2014/main" id="{7027A11A-C5CC-DB08-2CEA-0C6C7EB9CF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285750</xdr:colOff>
      <xdr:row>14</xdr:row>
      <xdr:rowOff>104775</xdr:rowOff>
    </xdr:from>
    <xdr:to>
      <xdr:col>12</xdr:col>
      <xdr:colOff>342900</xdr:colOff>
      <xdr:row>26</xdr:row>
      <xdr:rowOff>177800</xdr:rowOff>
    </xdr:to>
    <xdr:graphicFrame macro="">
      <xdr:nvGraphicFramePr>
        <xdr:cNvPr id="11" name="Chart 10">
          <a:extLst>
            <a:ext uri="{FF2B5EF4-FFF2-40B4-BE49-F238E27FC236}">
              <a16:creationId xmlns:a16="http://schemas.microsoft.com/office/drawing/2014/main" id="{134EF250-62C3-B837-75BD-2895CE8361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641350</xdr:colOff>
      <xdr:row>13</xdr:row>
      <xdr:rowOff>104775</xdr:rowOff>
    </xdr:from>
    <xdr:to>
      <xdr:col>5</xdr:col>
      <xdr:colOff>368300</xdr:colOff>
      <xdr:row>26</xdr:row>
      <xdr:rowOff>12700</xdr:rowOff>
    </xdr:to>
    <xdr:graphicFrame macro="">
      <xdr:nvGraphicFramePr>
        <xdr:cNvPr id="12" name="Chart 11">
          <a:extLst>
            <a:ext uri="{FF2B5EF4-FFF2-40B4-BE49-F238E27FC236}">
              <a16:creationId xmlns:a16="http://schemas.microsoft.com/office/drawing/2014/main" id="{A7ABD1A1-B4F0-5B98-A46A-4C27238351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377825</xdr:colOff>
      <xdr:row>5</xdr:row>
      <xdr:rowOff>139700</xdr:rowOff>
    </xdr:from>
    <xdr:to>
      <xdr:col>9</xdr:col>
      <xdr:colOff>327025</xdr:colOff>
      <xdr:row>19</xdr:row>
      <xdr:rowOff>38100</xdr:rowOff>
    </xdr:to>
    <xdr:graphicFrame macro="">
      <xdr:nvGraphicFramePr>
        <xdr:cNvPr id="3" name="Chart 2">
          <a:extLst>
            <a:ext uri="{FF2B5EF4-FFF2-40B4-BE49-F238E27FC236}">
              <a16:creationId xmlns:a16="http://schemas.microsoft.com/office/drawing/2014/main" id="{8CB1203C-A561-B2A9-A3D8-A4AB315B91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5</xdr:row>
      <xdr:rowOff>95250</xdr:rowOff>
    </xdr:from>
    <xdr:to>
      <xdr:col>2</xdr:col>
      <xdr:colOff>127000</xdr:colOff>
      <xdr:row>19</xdr:row>
      <xdr:rowOff>60325</xdr:rowOff>
    </xdr:to>
    <mc:AlternateContent xmlns:mc="http://schemas.openxmlformats.org/markup-compatibility/2006" xmlns:a14="http://schemas.microsoft.com/office/drawing/2010/main">
      <mc:Choice Requires="a14">
        <xdr:graphicFrame macro="">
          <xdr:nvGraphicFramePr>
            <xdr:cNvPr id="4" name="City 1">
              <a:extLst>
                <a:ext uri="{FF2B5EF4-FFF2-40B4-BE49-F238E27FC236}">
                  <a16:creationId xmlns:a16="http://schemas.microsoft.com/office/drawing/2014/main" id="{C36D8841-0432-3849-4E54-6155DA9D31CB}"/>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155700" y="1111250"/>
              <a:ext cx="1828800" cy="2809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920750</xdr:colOff>
      <xdr:row>13</xdr:row>
      <xdr:rowOff>158750</xdr:rowOff>
    </xdr:from>
    <xdr:to>
      <xdr:col>10</xdr:col>
      <xdr:colOff>387350</xdr:colOff>
      <xdr:row>27</xdr:row>
      <xdr:rowOff>57150</xdr:rowOff>
    </xdr:to>
    <xdr:graphicFrame macro="">
      <xdr:nvGraphicFramePr>
        <xdr:cNvPr id="2" name="Chart 1">
          <a:extLst>
            <a:ext uri="{FF2B5EF4-FFF2-40B4-BE49-F238E27FC236}">
              <a16:creationId xmlns:a16="http://schemas.microsoft.com/office/drawing/2014/main" id="{496B779F-645F-252D-70B6-112F16AAE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139700</xdr:colOff>
      <xdr:row>28</xdr:row>
      <xdr:rowOff>19050</xdr:rowOff>
    </xdr:from>
    <xdr:to>
      <xdr:col>13</xdr:col>
      <xdr:colOff>609600</xdr:colOff>
      <xdr:row>41</xdr:row>
      <xdr:rowOff>120650</xdr:rowOff>
    </xdr:to>
    <xdr:graphicFrame macro="">
      <xdr:nvGraphicFramePr>
        <xdr:cNvPr id="4" name="Chart 3">
          <a:extLst>
            <a:ext uri="{FF2B5EF4-FFF2-40B4-BE49-F238E27FC236}">
              <a16:creationId xmlns:a16="http://schemas.microsoft.com/office/drawing/2014/main" id="{3668AB49-E892-4876-E51D-913A873AB6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196850</xdr:colOff>
      <xdr:row>0</xdr:row>
      <xdr:rowOff>114299</xdr:rowOff>
    </xdr:from>
    <xdr:to>
      <xdr:col>13</xdr:col>
      <xdr:colOff>298450</xdr:colOff>
      <xdr:row>14</xdr:row>
      <xdr:rowOff>31750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F29B7F2-B40F-49F2-CD8F-08A2E66FEE3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187950" y="114299"/>
              <a:ext cx="4813300" cy="28384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rath Kakarla" refreshedDate="45634.598067245373" createdVersion="8" refreshedVersion="8" minRefreshableVersion="3" recordCount="10" xr:uid="{53C72621-C1F6-4B4B-B3AF-95DA85667883}">
  <cacheSource type="worksheet">
    <worksheetSource ref="A1:J11" sheet="CostofLiving"/>
  </cacheSource>
  <cacheFields count="10">
    <cacheField name="City" numFmtId="0">
      <sharedItems count="10">
        <s v="Austin"/>
        <s v="New York"/>
        <s v="Seattle"/>
        <s v="Boston"/>
        <s v="San Francisco"/>
        <s v="Washington, D.C."/>
        <s v="San Diego"/>
        <s v="Chicago"/>
        <s v="Denver"/>
        <s v="Atlanta"/>
      </sharedItems>
    </cacheField>
    <cacheField name="Estimated Number of Restaurants" numFmtId="0">
      <sharedItems containsSemiMixedTypes="0" containsString="0" containsNumber="1" containsInteger="1" minValue="40" maxValue="400"/>
    </cacheField>
    <cacheField name="Rating Range (Avg)" numFmtId="0">
      <sharedItems/>
    </cacheField>
    <cacheField name="Average Price Range" numFmtId="0">
      <sharedItems/>
    </cacheField>
    <cacheField name="Total Score" numFmtId="0">
      <sharedItems containsSemiMixedTypes="0" containsString="0" containsNumber="1" minValue="13.93" maxValue="50.84"/>
    </cacheField>
    <cacheField name="Football Rank" numFmtId="0">
      <sharedItems containsSemiMixedTypes="0" containsString="0" containsNumber="1" containsInteger="1" minValue="5" maxValue="180"/>
    </cacheField>
    <cacheField name="Baseball Rank" numFmtId="0">
      <sharedItems containsSemiMixedTypes="0" containsString="0" containsNumber="1" containsInteger="1" minValue="1" maxValue="64"/>
    </cacheField>
    <cacheField name="Basketball Rank" numFmtId="0">
      <sharedItems containsSemiMixedTypes="0" containsString="0" containsNumber="1" containsInteger="1" minValue="2" maxValue="286"/>
    </cacheField>
    <cacheField name="Soccer Rank" numFmtId="0">
      <sharedItems containsSemiMixedTypes="0" containsString="0" containsNumber="1" containsInteger="1" minValue="2" maxValue="180"/>
    </cacheField>
    <cacheField name="Income After Taxes" numFmtId="3">
      <sharedItems containsSemiMixedTypes="0" containsString="0" containsNumber="1" containsInteger="1" minValue="69696" maxValue="78089"/>
    </cacheField>
  </cacheFields>
  <extLst>
    <ext xmlns:x14="http://schemas.microsoft.com/office/spreadsheetml/2009/9/main" uri="{725AE2AE-9491-48be-B2B4-4EB974FC3084}">
      <x14:pivotCacheDefinition pivotCacheId="21115564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50"/>
    <s v="3.5 - 4.5"/>
    <s v="$10 - $30"/>
    <n v="13.93"/>
    <n v="180"/>
    <n v="64"/>
    <n v="286"/>
    <n v="25"/>
    <n v="69696"/>
  </r>
  <r>
    <x v="1"/>
    <n v="400"/>
    <s v="4.0 - 4.5"/>
    <s v="$15 - $50"/>
    <n v="46.88"/>
    <n v="6"/>
    <n v="1"/>
    <n v="9"/>
    <n v="8"/>
    <n v="78089"/>
  </r>
  <r>
    <x v="2"/>
    <n v="70"/>
    <s v="4.0 - 4.5"/>
    <s v="$15 - $40"/>
    <n v="35.979999999999997"/>
    <n v="15"/>
    <n v="18"/>
    <n v="108"/>
    <n v="2"/>
    <n v="78089"/>
  </r>
  <r>
    <x v="3"/>
    <n v="50"/>
    <s v="3.5 - 4.5"/>
    <s v="$10 - $40"/>
    <n v="50.84"/>
    <n v="5"/>
    <n v="5"/>
    <n v="2"/>
    <n v="19"/>
    <n v="73529"/>
  </r>
  <r>
    <x v="4"/>
    <n v="150"/>
    <s v="4.0 - 4.5"/>
    <s v="$15 - $50"/>
    <n v="39.159999999999997"/>
    <n v="9"/>
    <n v="8"/>
    <n v="3"/>
    <n v="180"/>
    <n v="71978"/>
  </r>
  <r>
    <x v="5"/>
    <n v="100"/>
    <s v="4.0 - 4.5"/>
    <s v="$15 - $45"/>
    <n v="37.270000000000003"/>
    <n v="19"/>
    <n v="25"/>
    <n v="7"/>
    <n v="6"/>
    <n v="72366"/>
  </r>
  <r>
    <x v="6"/>
    <n v="60"/>
    <s v="4.0 - 4.5"/>
    <s v="$10 - $30"/>
    <n v="37.270000000000003"/>
    <n v="19"/>
    <n v="25"/>
    <n v="7"/>
    <n v="6"/>
    <n v="71978"/>
  </r>
  <r>
    <x v="7"/>
    <n v="100"/>
    <s v="4.0 - 4.5"/>
    <s v="$12 - $35"/>
    <n v="34.26"/>
    <n v="28"/>
    <n v="6"/>
    <n v="12"/>
    <n v="21"/>
    <n v="73259"/>
  </r>
  <r>
    <x v="8"/>
    <n v="40"/>
    <s v="3.5 - 4.0"/>
    <s v="$12 - $30"/>
    <n v="35.94"/>
    <n v="20"/>
    <n v="26"/>
    <n v="17"/>
    <n v="27"/>
    <n v="74298"/>
  </r>
  <r>
    <x v="9"/>
    <n v="60"/>
    <s v="3.5 - 4.5"/>
    <s v="$10 - $40"/>
    <n v="35.94"/>
    <n v="23"/>
    <n v="4"/>
    <n v="11"/>
    <n v="9"/>
    <n v="729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E6C482-7A7D-4484-B45B-D309207334AA}" name="PivotTable5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5" firstHeaderRow="1" firstDataRow="1" firstDataCol="1"/>
  <pivotFields count="10">
    <pivotField axis="axisRow" showAll="0">
      <items count="11">
        <item h="1" x="9"/>
        <item h="1" x="0"/>
        <item h="1" x="3"/>
        <item h="1" x="7"/>
        <item h="1" x="8"/>
        <item h="1" x="1"/>
        <item h="1" x="6"/>
        <item x="4"/>
        <item h="1" x="2"/>
        <item h="1" x="5"/>
        <item t="default"/>
      </items>
    </pivotField>
    <pivotField showAll="0"/>
    <pivotField showAll="0"/>
    <pivotField showAll="0"/>
    <pivotField showAll="0"/>
    <pivotField showAll="0"/>
    <pivotField showAll="0"/>
    <pivotField showAll="0"/>
    <pivotField showAll="0"/>
    <pivotField dataField="1" numFmtId="3" showAll="0"/>
  </pivotFields>
  <rowFields count="1">
    <field x="0"/>
  </rowFields>
  <rowItems count="2">
    <i>
      <x v="7"/>
    </i>
    <i t="grand">
      <x/>
    </i>
  </rowItems>
  <colItems count="1">
    <i/>
  </colItems>
  <dataFields count="1">
    <dataField name="Sum of Income After Taxes" fld="9" baseField="0" baseItem="0" numFmtId="3"/>
  </dataFields>
  <chartFormats count="1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5"/>
          </reference>
        </references>
      </pivotArea>
    </chartFormat>
    <chartFormat chart="5" format="4">
      <pivotArea type="data" outline="0" fieldPosition="0">
        <references count="2">
          <reference field="4294967294" count="1" selected="0">
            <x v="0"/>
          </reference>
          <reference field="0" count="1" selected="0">
            <x v="3"/>
          </reference>
        </references>
      </pivotArea>
    </chartFormat>
    <chartFormat chart="5" format="5">
      <pivotArea type="data" outline="0" fieldPosition="0">
        <references count="2">
          <reference field="4294967294" count="1" selected="0">
            <x v="0"/>
          </reference>
          <reference field="0" count="1" selected="0">
            <x v="4"/>
          </reference>
        </references>
      </pivotArea>
    </chartFormat>
    <chartFormat chart="5" format="6">
      <pivotArea type="data" outline="0" fieldPosition="0">
        <references count="2">
          <reference field="4294967294" count="1" selected="0">
            <x v="0"/>
          </reference>
          <reference field="0" count="1" selected="0">
            <x v="6"/>
          </reference>
        </references>
      </pivotArea>
    </chartFormat>
    <chartFormat chart="5" format="7">
      <pivotArea type="data" outline="0" fieldPosition="0">
        <references count="2">
          <reference field="4294967294" count="1" selected="0">
            <x v="0"/>
          </reference>
          <reference field="0" count="1" selected="0">
            <x v="7"/>
          </reference>
        </references>
      </pivotArea>
    </chartFormat>
    <chartFormat chart="5" format="8">
      <pivotArea type="data" outline="0" fieldPosition="0">
        <references count="2">
          <reference field="4294967294" count="1" selected="0">
            <x v="0"/>
          </reference>
          <reference field="0" count="1" selected="0">
            <x v="8"/>
          </reference>
        </references>
      </pivotArea>
    </chartFormat>
    <chartFormat chart="5" format="9">
      <pivotArea type="data" outline="0" fieldPosition="0">
        <references count="2">
          <reference field="4294967294" count="1" selected="0">
            <x v="0"/>
          </reference>
          <reference field="0" count="1" selected="0">
            <x v="9"/>
          </reference>
        </references>
      </pivotArea>
    </chartFormat>
    <chartFormat chart="5" format="10">
      <pivotArea type="data" outline="0" fieldPosition="0">
        <references count="2">
          <reference field="4294967294" count="1" selected="0">
            <x v="0"/>
          </reference>
          <reference field="0" count="1" selected="0">
            <x v="2"/>
          </reference>
        </references>
      </pivotArea>
    </chartFormat>
    <chartFormat chart="5" format="11">
      <pivotArea type="data" outline="0" fieldPosition="0">
        <references count="2">
          <reference field="4294967294" count="1" selected="0">
            <x v="0"/>
          </reference>
          <reference field="0" count="1" selected="0">
            <x v="0"/>
          </reference>
        </references>
      </pivotArea>
    </chartFormat>
    <chartFormat chart="5" format="1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67C04DD6-A037-490F-A9A2-38D72F6420B5}" sourceName="City">
  <pivotTables>
    <pivotTable tabId="5" name="PivotTable56"/>
  </pivotTables>
  <data>
    <tabular pivotCacheId="2111556460">
      <items count="10">
        <i x="9"/>
        <i x="0"/>
        <i x="3"/>
        <i x="7"/>
        <i x="8"/>
        <i x="1"/>
        <i x="6"/>
        <i x="4" s="1"/>
        <i x="2"/>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2" xr10:uid="{2E038979-031C-431F-8F1F-7B2FFCA00905}" cache="Slicer_City1" caption="City" startItem="2"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8A1156EE-E37A-4666-9062-E79516E0FAB5}" cache="Slicer_City1" caption="City"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4B8970-2627-4509-B9E5-25BC25DBCA6E}" name="Table2" displayName="Table2" ref="A2:F12" totalsRowShown="0" headerRowDxfId="8" dataDxfId="7" tableBorderDxfId="6">
  <autoFilter ref="A2:F12" xr:uid="{9E4B8970-2627-4509-B9E5-25BC25DBCA6E}"/>
  <sortState xmlns:xlrd2="http://schemas.microsoft.com/office/spreadsheetml/2017/richdata2" ref="A3:F12">
    <sortCondition ref="B2:B12"/>
  </sortState>
  <tableColumns count="6">
    <tableColumn id="1" xr3:uid="{355E7767-AF82-464B-97B6-CAE8D349AD8D}" name="City" dataDxfId="5"/>
    <tableColumn id="2" xr3:uid="{3520F439-8121-4037-8E08-D4A912537417}" name="Total Score" dataDxfId="4"/>
    <tableColumn id="3" xr3:uid="{D26605D6-AC79-45BB-A5F0-28787046C966}" name="Football Rank" dataDxfId="3"/>
    <tableColumn id="4" xr3:uid="{F079E7EA-B911-4FDF-9DAA-EF20B896260D}" name="Baseball Rank" dataDxfId="2"/>
    <tableColumn id="5" xr3:uid="{5F3D1CAE-43A0-4BED-B893-35FD3855156A}" name="Basketball Rank" dataDxfId="1"/>
    <tableColumn id="6" xr3:uid="{8D74AD63-71A6-4B43-BD93-3B302CFEDC59}" name="Soccer Ra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ls.gov/web/laus/laumstrk.htm" TargetMode="External"/><Relationship Id="rId2" Type="http://schemas.openxmlformats.org/officeDocument/2006/relationships/hyperlink" Target="https://smartasset.com/taxes/income-taxes" TargetMode="External"/><Relationship Id="rId1" Type="http://schemas.openxmlformats.org/officeDocument/2006/relationships/hyperlink" Target="https://www.numbeo.com/quality-of-life/in/Atlanta"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kaggle.com/datasets/denissad/us-cities?select=us_cities.csv"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www.kaggle.com/datasets/denissad/us-cities?select=us_cities.csv" TargetMode="External"/><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data.dartmouthatlas.org/"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wallethub.com/edu/best-sports-cities/15179" TargetMode="External"/><Relationship Id="rId1" Type="http://schemas.openxmlformats.org/officeDocument/2006/relationships/hyperlink" Target="https://wallethub.com/edu/best-sports-cities/15179"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85B6-0A84-B848-ACBC-A01FF5F39F8B}">
  <sheetPr codeName="Sheet2"/>
  <dimension ref="B1:L30"/>
  <sheetViews>
    <sheetView showGridLines="0" tabSelected="1" zoomScale="70" zoomScaleNormal="70" workbookViewId="0">
      <selection activeCell="P13" sqref="P13"/>
    </sheetView>
  </sheetViews>
  <sheetFormatPr defaultColWidth="10.83203125" defaultRowHeight="15.5" x14ac:dyDescent="0.35"/>
  <cols>
    <col min="1" max="1" width="1.5" style="5" customWidth="1"/>
    <col min="2" max="4" width="19.6640625" style="5" customWidth="1"/>
    <col min="5" max="5" width="2.83203125" style="5" customWidth="1"/>
    <col min="6" max="6" width="11.33203125" style="5" customWidth="1"/>
    <col min="7" max="7" width="5.6640625" style="5" customWidth="1"/>
    <col min="8" max="8" width="10.83203125" style="5"/>
    <col min="9" max="9" width="15.33203125" style="5" customWidth="1"/>
    <col min="10" max="10" width="21.1640625" style="5" customWidth="1"/>
    <col min="11" max="11" width="25.83203125" style="5" customWidth="1"/>
    <col min="12" max="12" width="14" style="5" customWidth="1"/>
    <col min="13" max="16384" width="10.83203125" style="5"/>
  </cols>
  <sheetData>
    <row r="1" spans="2:12" ht="16" thickBot="1" x14ac:dyDescent="0.4"/>
    <row r="2" spans="2:12" ht="25.5" thickBot="1" x14ac:dyDescent="0.55000000000000004">
      <c r="B2" s="44" t="s">
        <v>25</v>
      </c>
      <c r="C2" s="45"/>
      <c r="D2" s="45"/>
      <c r="E2" s="45"/>
      <c r="F2" s="45"/>
      <c r="G2" s="45"/>
      <c r="H2" s="45"/>
      <c r="I2" s="45"/>
      <c r="J2" s="45"/>
      <c r="K2" s="45"/>
      <c r="L2" s="46"/>
    </row>
    <row r="3" spans="2:12" ht="18" x14ac:dyDescent="0.4">
      <c r="B3" s="48" t="s">
        <v>26</v>
      </c>
      <c r="C3" s="48"/>
      <c r="D3" s="48"/>
      <c r="F3" s="6"/>
      <c r="G3" s="6"/>
      <c r="H3" s="6"/>
      <c r="I3" s="13"/>
      <c r="J3" s="13"/>
      <c r="K3" s="13"/>
      <c r="L3" s="13"/>
    </row>
    <row r="4" spans="2:12" ht="25" x14ac:dyDescent="0.5">
      <c r="B4" s="49" t="s">
        <v>18</v>
      </c>
      <c r="C4" s="49"/>
      <c r="D4" s="49"/>
      <c r="F4" s="6"/>
      <c r="G4" s="47"/>
      <c r="H4" s="47"/>
      <c r="I4" s="47"/>
      <c r="J4" s="47"/>
      <c r="K4" s="47"/>
      <c r="L4" s="13"/>
    </row>
    <row r="5" spans="2:12" x14ac:dyDescent="0.35">
      <c r="B5" s="6"/>
      <c r="C5" s="6"/>
      <c r="D5" s="6"/>
      <c r="F5" s="6"/>
      <c r="G5" s="47"/>
      <c r="H5" s="47"/>
      <c r="I5" s="47"/>
      <c r="J5" s="47"/>
      <c r="K5" s="47"/>
      <c r="L5" s="13"/>
    </row>
    <row r="6" spans="2:12" ht="20" x14ac:dyDescent="0.4">
      <c r="B6" s="52" t="s">
        <v>27</v>
      </c>
      <c r="C6" s="52"/>
      <c r="D6" s="52"/>
      <c r="F6" s="6"/>
      <c r="G6" s="47"/>
      <c r="H6" s="47"/>
      <c r="I6" s="47"/>
      <c r="J6" s="47"/>
      <c r="K6" s="47"/>
      <c r="L6" s="13"/>
    </row>
    <row r="7" spans="2:12" ht="45" x14ac:dyDescent="0.35">
      <c r="B7" s="53">
        <f>_xlfn.XLOOKUP(B4,'Quality of Life'!B3:B12,'Quality of Life'!G3:G12)</f>
        <v>9</v>
      </c>
      <c r="C7" s="53"/>
      <c r="D7" s="53"/>
      <c r="F7" s="6"/>
      <c r="G7" s="47"/>
      <c r="H7" s="47"/>
      <c r="I7" s="47"/>
      <c r="J7" s="47"/>
      <c r="K7" s="47"/>
      <c r="L7" s="13"/>
    </row>
    <row r="8" spans="2:12" x14ac:dyDescent="0.35">
      <c r="B8" s="6"/>
      <c r="C8" s="6"/>
      <c r="D8" s="6"/>
      <c r="F8" s="6"/>
      <c r="G8" s="47"/>
      <c r="H8" s="47"/>
      <c r="I8" s="47"/>
      <c r="J8" s="47"/>
      <c r="K8" s="47"/>
      <c r="L8" s="13"/>
    </row>
    <row r="9" spans="2:12" x14ac:dyDescent="0.35">
      <c r="B9" s="6"/>
      <c r="C9" s="6"/>
      <c r="D9" s="6"/>
      <c r="F9" s="6"/>
      <c r="G9" s="47"/>
      <c r="H9" s="47"/>
      <c r="I9" s="47"/>
      <c r="J9" s="47"/>
      <c r="K9" s="47"/>
      <c r="L9" s="13"/>
    </row>
    <row r="10" spans="2:12" x14ac:dyDescent="0.35">
      <c r="B10" s="6"/>
      <c r="C10" s="6"/>
      <c r="D10" s="6"/>
      <c r="F10" s="6"/>
      <c r="G10" s="47"/>
      <c r="H10" s="47"/>
      <c r="I10" s="47"/>
      <c r="J10" s="47"/>
      <c r="K10" s="47"/>
      <c r="L10" s="13"/>
    </row>
    <row r="11" spans="2:12" x14ac:dyDescent="0.35">
      <c r="B11" s="6"/>
      <c r="C11" s="6"/>
      <c r="D11" s="6"/>
      <c r="F11" s="6"/>
      <c r="G11" s="47"/>
      <c r="H11" s="47"/>
      <c r="I11" s="47"/>
      <c r="J11" s="47"/>
      <c r="K11" s="47"/>
      <c r="L11" s="13"/>
    </row>
    <row r="12" spans="2:12" x14ac:dyDescent="0.35">
      <c r="B12" s="6"/>
      <c r="C12" s="6"/>
      <c r="D12" s="6"/>
      <c r="F12" s="6"/>
      <c r="G12" s="47"/>
      <c r="H12" s="47"/>
      <c r="I12" s="47"/>
      <c r="J12" s="47"/>
      <c r="K12" s="47"/>
      <c r="L12" s="13"/>
    </row>
    <row r="13" spans="2:12" x14ac:dyDescent="0.35">
      <c r="B13" s="6"/>
      <c r="C13" s="6"/>
      <c r="D13" s="6"/>
      <c r="F13" s="6"/>
      <c r="G13" s="47"/>
      <c r="H13" s="47"/>
      <c r="I13" s="47"/>
      <c r="J13" s="47"/>
      <c r="K13" s="47"/>
      <c r="L13" s="13"/>
    </row>
    <row r="14" spans="2:12" x14ac:dyDescent="0.35">
      <c r="B14" s="6"/>
      <c r="C14" s="6"/>
      <c r="D14" s="6"/>
      <c r="F14" s="6"/>
      <c r="G14" s="47"/>
      <c r="H14" s="47"/>
      <c r="I14" s="47"/>
      <c r="J14" s="47"/>
      <c r="K14" s="47"/>
      <c r="L14" s="13"/>
    </row>
    <row r="15" spans="2:12" x14ac:dyDescent="0.35">
      <c r="B15" s="6"/>
      <c r="C15" s="6"/>
      <c r="D15" s="6"/>
      <c r="F15" s="6"/>
      <c r="G15" s="6"/>
      <c r="H15" s="6"/>
      <c r="I15" s="13"/>
      <c r="J15" s="13"/>
      <c r="K15" s="13"/>
      <c r="L15" s="13"/>
    </row>
    <row r="16" spans="2:12" ht="16" thickBot="1" x14ac:dyDescent="0.4"/>
    <row r="17" spans="2:12" ht="18.5" x14ac:dyDescent="0.35">
      <c r="B17" s="31" t="s">
        <v>70</v>
      </c>
      <c r="C17" s="31" t="s">
        <v>64</v>
      </c>
      <c r="D17" s="31" t="s">
        <v>65</v>
      </c>
      <c r="F17" s="6"/>
      <c r="G17" s="6"/>
      <c r="H17" s="6"/>
      <c r="I17" s="6"/>
      <c r="J17" s="6"/>
      <c r="K17" s="6"/>
      <c r="L17" s="6"/>
    </row>
    <row r="18" spans="2:12" ht="16.5" customHeight="1" x14ac:dyDescent="0.35">
      <c r="B18" s="54">
        <f>_xlfn.XLOOKUP(B4,'Quality of Life'!B3:B12,'Quality of Life'!A3:A12)</f>
        <v>100</v>
      </c>
      <c r="C18" s="50" t="str">
        <f>_xlfn.XLOOKUP(B4,'Quality of Life'!B3:B12,'Quality of Life'!H3:H12)</f>
        <v>$12 - $35</v>
      </c>
      <c r="D18" s="56" t="str">
        <f>_xlfn.XLOOKUP(B4,'Quality of Life'!B3:B12,'Quality of Life'!I3:I12)</f>
        <v>4.0 - 4.5</v>
      </c>
      <c r="F18" s="6"/>
      <c r="G18" s="6"/>
      <c r="H18" s="6"/>
      <c r="I18" s="6"/>
      <c r="J18" s="6"/>
      <c r="K18" s="6"/>
      <c r="L18" s="6"/>
    </row>
    <row r="19" spans="2:12" ht="18.5" customHeight="1" thickBot="1" x14ac:dyDescent="0.4">
      <c r="B19" s="55"/>
      <c r="C19" s="51"/>
      <c r="D19" s="57"/>
      <c r="F19" s="6"/>
      <c r="G19" s="6"/>
      <c r="H19" s="6"/>
      <c r="I19" s="6"/>
      <c r="J19" s="6"/>
      <c r="L19" s="6"/>
    </row>
    <row r="20" spans="2:12" ht="16.25" customHeight="1" thickBot="1" x14ac:dyDescent="0.45">
      <c r="B20" s="6"/>
      <c r="C20"/>
      <c r="D20"/>
      <c r="F20" s="6"/>
      <c r="G20" s="6"/>
      <c r="H20" s="6"/>
      <c r="I20" s="6"/>
      <c r="J20" s="6"/>
      <c r="L20" s="27"/>
    </row>
    <row r="21" spans="2:12" ht="17.75" customHeight="1" x14ac:dyDescent="0.4">
      <c r="B21"/>
      <c r="C21"/>
      <c r="D21"/>
      <c r="F21" s="6"/>
      <c r="G21" s="6"/>
      <c r="H21" s="6"/>
      <c r="I21" s="6"/>
      <c r="J21" s="6"/>
      <c r="K21" s="24" t="s">
        <v>40</v>
      </c>
      <c r="L21" s="28"/>
    </row>
    <row r="22" spans="2:12" ht="28" x14ac:dyDescent="0.35">
      <c r="B22" s="6"/>
      <c r="C22" s="6"/>
      <c r="D22" s="6"/>
      <c r="F22" s="6"/>
      <c r="G22" s="6"/>
      <c r="H22" s="6"/>
      <c r="I22" s="6"/>
      <c r="J22" s="6"/>
      <c r="K22" s="30">
        <f>VLOOKUP(B4,Health!B2:J12,9)</f>
        <v>0.32644550455692201</v>
      </c>
      <c r="L22" s="29" t="str">
        <f>IF(K22&gt;31.8%,"⚠️","✅")</f>
        <v>⚠️</v>
      </c>
    </row>
    <row r="23" spans="2:12" ht="16.5" customHeight="1" thickBot="1" x14ac:dyDescent="0.45">
      <c r="B23"/>
      <c r="C23"/>
      <c r="D23" s="6"/>
      <c r="F23" s="6"/>
      <c r="G23" s="6"/>
      <c r="H23" s="6"/>
      <c r="I23" s="6"/>
      <c r="J23" s="6"/>
      <c r="K23" s="25" t="s">
        <v>71</v>
      </c>
      <c r="L23" s="6"/>
    </row>
    <row r="24" spans="2:12" ht="16" customHeight="1" x14ac:dyDescent="0.35">
      <c r="B24" s="6"/>
      <c r="C24" s="6"/>
      <c r="D24" s="6"/>
      <c r="F24" s="6"/>
      <c r="G24" s="6"/>
      <c r="H24" s="6"/>
      <c r="I24" s="6"/>
      <c r="J24" s="6"/>
      <c r="K24" s="26"/>
      <c r="L24" s="6"/>
    </row>
    <row r="25" spans="2:12" ht="18" customHeight="1" thickBot="1" x14ac:dyDescent="0.4">
      <c r="B25" s="47"/>
      <c r="C25" s="47"/>
      <c r="D25" s="6"/>
      <c r="F25" s="6"/>
      <c r="G25" s="6"/>
      <c r="H25" s="6"/>
      <c r="I25" s="6"/>
      <c r="J25" s="6"/>
      <c r="K25" s="26"/>
      <c r="L25" s="27"/>
    </row>
    <row r="26" spans="2:12" ht="17" customHeight="1" x14ac:dyDescent="0.4">
      <c r="B26" s="6"/>
      <c r="C26"/>
      <c r="D26" s="6"/>
      <c r="F26" s="6"/>
      <c r="G26" s="6"/>
      <c r="H26" s="6"/>
      <c r="I26" s="6"/>
      <c r="J26" s="6"/>
      <c r="K26" s="24" t="s">
        <v>42</v>
      </c>
      <c r="L26" s="27"/>
    </row>
    <row r="27" spans="2:12" ht="28" x14ac:dyDescent="0.35">
      <c r="B27" s="6"/>
      <c r="C27" s="6"/>
      <c r="D27" s="6"/>
      <c r="F27" s="6"/>
      <c r="G27" s="6"/>
      <c r="H27" s="6"/>
      <c r="I27" s="6"/>
      <c r="J27" s="6"/>
      <c r="K27" s="30">
        <f>VLOOKUP(B4,Health!B2:K12,10,)</f>
        <v>0.74199999999999999</v>
      </c>
      <c r="L27" s="29" t="str">
        <f>IF(K27&gt;70%,"✅","⚠️")</f>
        <v>✅</v>
      </c>
    </row>
    <row r="28" spans="2:12" ht="18.5" thickBot="1" x14ac:dyDescent="0.4">
      <c r="B28" s="6"/>
      <c r="C28" s="6"/>
      <c r="D28" s="6"/>
      <c r="F28" s="6"/>
      <c r="G28" s="6"/>
      <c r="H28" s="6"/>
      <c r="I28" s="6"/>
      <c r="J28" s="6"/>
      <c r="K28" s="25" t="s">
        <v>72</v>
      </c>
      <c r="L28" s="6"/>
    </row>
    <row r="29" spans="2:12" x14ac:dyDescent="0.35">
      <c r="B29" s="6"/>
      <c r="C29" s="6"/>
      <c r="D29" s="6"/>
      <c r="F29" s="6"/>
      <c r="G29" s="6"/>
      <c r="H29" s="6"/>
      <c r="I29" s="6"/>
      <c r="J29" s="6"/>
      <c r="K29" s="6"/>
      <c r="L29" s="6"/>
    </row>
    <row r="30" spans="2:12" x14ac:dyDescent="0.35">
      <c r="F30" s="6"/>
      <c r="G30" s="6"/>
      <c r="H30" s="6"/>
      <c r="I30" s="6"/>
      <c r="J30" s="6"/>
      <c r="K30" s="6"/>
      <c r="L30" s="6"/>
    </row>
  </sheetData>
  <mergeCells count="10">
    <mergeCell ref="B2:L2"/>
    <mergeCell ref="G4:K14"/>
    <mergeCell ref="B3:D3"/>
    <mergeCell ref="B4:D4"/>
    <mergeCell ref="B25:C25"/>
    <mergeCell ref="C18:C19"/>
    <mergeCell ref="B6:D6"/>
    <mergeCell ref="B7:D7"/>
    <mergeCell ref="B18:B19"/>
    <mergeCell ref="D18:D19"/>
  </mergeCells>
  <conditionalFormatting sqref="K22">
    <cfRule type="cellIs" dxfId="12" priority="3" operator="lessThan">
      <formula>31.8%</formula>
    </cfRule>
    <cfRule type="cellIs" dxfId="11" priority="4" operator="greaterThan">
      <formula>31.8%</formula>
    </cfRule>
  </conditionalFormatting>
  <conditionalFormatting sqref="K27">
    <cfRule type="cellIs" dxfId="10" priority="1" operator="lessThan">
      <formula>0.728</formula>
    </cfRule>
    <cfRule type="cellIs" dxfId="9" priority="2" operator="greaterThan">
      <formula>0.728</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t here" xr:uid="{03A43100-C5EC-AE43-80BF-5BDCD9589694}">
          <x14:formula1>
            <xm:f>'Quality of Life'!$B$3:$B$12</xm:f>
          </x14:formula1>
          <xm:sqref>B4</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BE334-8F83-7346-87B9-F8B29EB474AF}">
  <sheetPr codeName="Sheet1"/>
  <dimension ref="A2:I18"/>
  <sheetViews>
    <sheetView showGridLines="0" workbookViewId="0">
      <selection activeCell="J19" sqref="J19"/>
    </sheetView>
  </sheetViews>
  <sheetFormatPr defaultColWidth="10.6640625" defaultRowHeight="15.5" x14ac:dyDescent="0.35"/>
  <cols>
    <col min="1" max="1" width="23.83203125" style="33" bestFit="1" customWidth="1"/>
    <col min="2" max="2" width="15.5" style="33" bestFit="1" customWidth="1"/>
    <col min="3" max="3" width="10.6640625" style="33"/>
    <col min="4" max="5" width="12" style="33" bestFit="1" customWidth="1"/>
    <col min="6" max="6" width="19.1640625" style="33" bestFit="1" customWidth="1"/>
    <col min="7" max="7" width="19" style="33" bestFit="1" customWidth="1"/>
    <col min="8" max="8" width="13.33203125" style="33" bestFit="1" customWidth="1"/>
    <col min="9" max="16384" width="10.6640625" style="33"/>
  </cols>
  <sheetData>
    <row r="2" spans="1:9" s="39" customFormat="1" ht="15" x14ac:dyDescent="0.3">
      <c r="A2" s="38" t="s">
        <v>58</v>
      </c>
      <c r="B2" s="1" t="s">
        <v>0</v>
      </c>
      <c r="C2" s="1" t="s">
        <v>1</v>
      </c>
      <c r="D2" s="1" t="s">
        <v>2</v>
      </c>
      <c r="E2" s="1" t="s">
        <v>3</v>
      </c>
      <c r="F2" s="1" t="s">
        <v>4</v>
      </c>
      <c r="G2" s="1" t="s">
        <v>24</v>
      </c>
      <c r="H2" s="38" t="s">
        <v>63</v>
      </c>
      <c r="I2" s="38" t="s">
        <v>62</v>
      </c>
    </row>
    <row r="3" spans="1:9" x14ac:dyDescent="0.35">
      <c r="A3" s="32">
        <v>400</v>
      </c>
      <c r="B3" s="2" t="s">
        <v>5</v>
      </c>
      <c r="C3" s="2" t="s">
        <v>6</v>
      </c>
      <c r="D3" s="8">
        <v>50.9</v>
      </c>
      <c r="E3" s="8">
        <v>49.1</v>
      </c>
      <c r="F3" s="3">
        <v>132.57</v>
      </c>
      <c r="G3" s="32">
        <f>_xlfn.RANK.AVG(F3,F$3:F$12,)</f>
        <v>10</v>
      </c>
      <c r="H3" s="32" t="s">
        <v>51</v>
      </c>
      <c r="I3" s="32" t="s">
        <v>66</v>
      </c>
    </row>
    <row r="4" spans="1:9" x14ac:dyDescent="0.35">
      <c r="A4" s="32">
        <v>70</v>
      </c>
      <c r="B4" s="3" t="s">
        <v>7</v>
      </c>
      <c r="C4" s="3" t="s">
        <v>8</v>
      </c>
      <c r="D4" s="8">
        <v>54</v>
      </c>
      <c r="E4" s="8">
        <v>46</v>
      </c>
      <c r="F4" s="4">
        <v>197.95</v>
      </c>
      <c r="G4" s="32">
        <f>_xlfn.RANK.AVG(F4,F$3:F$12,)</f>
        <v>1</v>
      </c>
      <c r="H4" s="32" t="s">
        <v>52</v>
      </c>
      <c r="I4" s="32" t="s">
        <v>50</v>
      </c>
    </row>
    <row r="5" spans="1:9" x14ac:dyDescent="0.35">
      <c r="A5" s="32">
        <v>50</v>
      </c>
      <c r="B5" s="3" t="s">
        <v>9</v>
      </c>
      <c r="C5" s="3" t="s">
        <v>10</v>
      </c>
      <c r="D5" s="8">
        <v>42.1</v>
      </c>
      <c r="E5" s="8">
        <v>57.9</v>
      </c>
      <c r="F5" s="2">
        <v>193.59</v>
      </c>
      <c r="G5" s="32">
        <f>_xlfn.RANK.AVG(F5,F$3:F$12,)</f>
        <v>2</v>
      </c>
      <c r="H5" s="32" t="s">
        <v>49</v>
      </c>
      <c r="I5" s="32" t="s">
        <v>48</v>
      </c>
    </row>
    <row r="6" spans="1:9" x14ac:dyDescent="0.35">
      <c r="A6" s="32">
        <v>50</v>
      </c>
      <c r="B6" s="2" t="s">
        <v>11</v>
      </c>
      <c r="C6" s="2" t="s">
        <v>12</v>
      </c>
      <c r="D6" s="8">
        <v>39.9</v>
      </c>
      <c r="E6" s="8">
        <v>60.1</v>
      </c>
      <c r="F6" s="4">
        <v>180.06</v>
      </c>
      <c r="G6" s="32">
        <f>_xlfn.RANK.AVG(F6,F$3:F$12,)</f>
        <v>5</v>
      </c>
      <c r="H6" s="32" t="s">
        <v>53</v>
      </c>
      <c r="I6" s="32" t="s">
        <v>48</v>
      </c>
    </row>
    <row r="7" spans="1:9" x14ac:dyDescent="0.35">
      <c r="A7" s="32">
        <v>150</v>
      </c>
      <c r="B7" s="2" t="s">
        <v>13</v>
      </c>
      <c r="C7" s="2" t="s">
        <v>14</v>
      </c>
      <c r="D7" s="8">
        <v>61.5</v>
      </c>
      <c r="E7" s="8">
        <v>38.5</v>
      </c>
      <c r="F7" s="4">
        <v>168.78</v>
      </c>
      <c r="G7" s="32">
        <f>_xlfn.RANK.AVG(F7,F$3:F$12,)</f>
        <v>8</v>
      </c>
      <c r="H7" s="32" t="s">
        <v>51</v>
      </c>
      <c r="I7" s="32" t="s">
        <v>50</v>
      </c>
    </row>
    <row r="8" spans="1:9" x14ac:dyDescent="0.35">
      <c r="A8" s="32">
        <v>100</v>
      </c>
      <c r="B8" s="2" t="s">
        <v>15</v>
      </c>
      <c r="C8" s="2" t="s">
        <v>16</v>
      </c>
      <c r="D8" s="8">
        <v>60.3</v>
      </c>
      <c r="E8" s="8">
        <v>39.700000000000003</v>
      </c>
      <c r="F8" s="4">
        <v>169.85</v>
      </c>
      <c r="G8" s="32">
        <f t="shared" ref="G8:G12" si="0">_xlfn.RANK.AVG(F8,F$3:F$12,)</f>
        <v>7</v>
      </c>
      <c r="H8" s="32" t="s">
        <v>54</v>
      </c>
      <c r="I8" s="32" t="s">
        <v>50</v>
      </c>
    </row>
    <row r="9" spans="1:9" x14ac:dyDescent="0.35">
      <c r="A9" s="32">
        <v>60</v>
      </c>
      <c r="B9" s="3" t="s">
        <v>17</v>
      </c>
      <c r="C9" s="3" t="s">
        <v>14</v>
      </c>
      <c r="D9" s="8">
        <v>39.700000000000003</v>
      </c>
      <c r="E9" s="8">
        <v>60.3</v>
      </c>
      <c r="F9" s="4">
        <v>190.41</v>
      </c>
      <c r="G9" s="32">
        <f t="shared" si="0"/>
        <v>3</v>
      </c>
      <c r="H9" s="32" t="s">
        <v>49</v>
      </c>
      <c r="I9" s="32" t="s">
        <v>50</v>
      </c>
    </row>
    <row r="10" spans="1:9" x14ac:dyDescent="0.35">
      <c r="A10" s="32">
        <v>100</v>
      </c>
      <c r="B10" s="3" t="s">
        <v>18</v>
      </c>
      <c r="C10" s="3" t="s">
        <v>19</v>
      </c>
      <c r="D10" s="8">
        <v>66.099999999999994</v>
      </c>
      <c r="E10" s="8">
        <v>33.9</v>
      </c>
      <c r="F10" s="4">
        <v>156.78</v>
      </c>
      <c r="G10" s="32">
        <f t="shared" si="0"/>
        <v>9</v>
      </c>
      <c r="H10" s="32" t="s">
        <v>55</v>
      </c>
      <c r="I10" s="32" t="s">
        <v>50</v>
      </c>
    </row>
    <row r="11" spans="1:9" x14ac:dyDescent="0.35">
      <c r="A11" s="32">
        <v>40</v>
      </c>
      <c r="B11" s="3" t="s">
        <v>20</v>
      </c>
      <c r="C11" s="3" t="s">
        <v>21</v>
      </c>
      <c r="D11" s="8">
        <v>47.5</v>
      </c>
      <c r="E11" s="8">
        <v>52.5</v>
      </c>
      <c r="F11" s="4">
        <v>171.79</v>
      </c>
      <c r="G11" s="32">
        <f t="shared" si="0"/>
        <v>6</v>
      </c>
      <c r="H11" s="32" t="s">
        <v>57</v>
      </c>
      <c r="I11" s="32" t="s">
        <v>56</v>
      </c>
    </row>
    <row r="12" spans="1:9" x14ac:dyDescent="0.35">
      <c r="A12" s="32">
        <v>60</v>
      </c>
      <c r="B12" s="3" t="s">
        <v>22</v>
      </c>
      <c r="C12" s="2" t="s">
        <v>23</v>
      </c>
      <c r="D12" s="8">
        <v>64.099999999999994</v>
      </c>
      <c r="E12" s="8">
        <v>35.9</v>
      </c>
      <c r="F12" s="4">
        <v>186.05</v>
      </c>
      <c r="G12" s="32">
        <f t="shared" si="0"/>
        <v>4</v>
      </c>
      <c r="H12" s="32" t="s">
        <v>53</v>
      </c>
      <c r="I12" s="32" t="s">
        <v>48</v>
      </c>
    </row>
    <row r="13" spans="1:9" x14ac:dyDescent="0.35">
      <c r="A13" s="32"/>
      <c r="B13" s="3" t="s">
        <v>28</v>
      </c>
      <c r="C13" s="32"/>
      <c r="D13" s="34">
        <f>AVERAGE(D3:D12)</f>
        <v>52.61</v>
      </c>
      <c r="E13" s="34">
        <f>AVERAGE(E3:E12)</f>
        <v>47.39</v>
      </c>
      <c r="F13" s="32"/>
      <c r="G13" s="32"/>
      <c r="H13" s="32"/>
      <c r="I13" s="32"/>
    </row>
    <row r="15" spans="1:9" x14ac:dyDescent="0.35">
      <c r="B15" s="9" t="s">
        <v>31</v>
      </c>
      <c r="E15" s="33" t="s">
        <v>32</v>
      </c>
    </row>
    <row r="16" spans="1:9" ht="16" x14ac:dyDescent="0.4">
      <c r="B16" s="35" t="s">
        <v>29</v>
      </c>
      <c r="C16" s="35" t="s">
        <v>30</v>
      </c>
      <c r="E16" s="35" t="s">
        <v>29</v>
      </c>
      <c r="F16" s="35" t="s">
        <v>30</v>
      </c>
      <c r="H16" s="43" t="s">
        <v>74</v>
      </c>
    </row>
    <row r="17" spans="2:8" ht="16" x14ac:dyDescent="0.4">
      <c r="B17" s="36" t="str">
        <f>Dashboard!B4</f>
        <v>Chicago</v>
      </c>
      <c r="C17" s="36">
        <f>VLOOKUP(B17,B2:E13,4,0)</f>
        <v>33.9</v>
      </c>
      <c r="E17" s="36" t="str">
        <f>Dashboard!B4</f>
        <v>Chicago</v>
      </c>
      <c r="F17" s="36">
        <f>VLOOKUP(E17,B2:D13,3,0)</f>
        <v>66.099999999999994</v>
      </c>
      <c r="H17" s="43" t="s">
        <v>75</v>
      </c>
    </row>
    <row r="18" spans="2:8" ht="16" x14ac:dyDescent="0.4">
      <c r="B18" s="36" t="s">
        <v>28</v>
      </c>
      <c r="C18" s="37">
        <f>AVERAGE(E13)</f>
        <v>47.39</v>
      </c>
      <c r="E18" s="36" t="s">
        <v>28</v>
      </c>
      <c r="F18" s="37">
        <f>AVERAGE(D3:D12)</f>
        <v>52.61</v>
      </c>
      <c r="H18" s="43" t="s">
        <v>76</v>
      </c>
    </row>
  </sheetData>
  <hyperlinks>
    <hyperlink ref="H16" r:id="rId1" tooltip="Click here for datasource 1" xr:uid="{02FBEFFE-F2DC-4C1D-947F-343AA7B357F6}"/>
    <hyperlink ref="H17" r:id="rId2" location="MoxDah3dnZ" tooltip="Click here for datasource 2" xr:uid="{57571973-BE6C-4CB0-9C50-5F7C670E5352}"/>
    <hyperlink ref="H18" r:id="rId3" tooltip="Click here for datasource 3" xr:uid="{F4F3760C-C382-4640-9E02-FB700EF39D48}"/>
  </hyperlinks>
  <pageMargins left="0.7" right="0.7" top="0.75" bottom="0.75" header="0.3" footer="0.3"/>
  <pageSetup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40E48-EB1A-432E-B7CE-3049C512B674}">
  <sheetPr codeName="Sheet3"/>
  <dimension ref="B2:N12"/>
  <sheetViews>
    <sheetView showGridLines="0" workbookViewId="0">
      <selection activeCell="O13" sqref="O13"/>
    </sheetView>
  </sheetViews>
  <sheetFormatPr defaultColWidth="8.83203125" defaultRowHeight="16" x14ac:dyDescent="0.4"/>
  <cols>
    <col min="2" max="2" width="15.1640625" bestFit="1" customWidth="1"/>
    <col min="3" max="3" width="8.1640625" bestFit="1" customWidth="1"/>
    <col min="4" max="4" width="12.6640625" bestFit="1" customWidth="1"/>
    <col min="5" max="5" width="11.1640625" bestFit="1" customWidth="1"/>
  </cols>
  <sheetData>
    <row r="2" spans="2:14" x14ac:dyDescent="0.4">
      <c r="B2" s="1" t="s">
        <v>0</v>
      </c>
      <c r="C2" s="1" t="s">
        <v>67</v>
      </c>
      <c r="D2" s="1" t="s">
        <v>68</v>
      </c>
      <c r="E2" s="1" t="s">
        <v>69</v>
      </c>
    </row>
    <row r="3" spans="2:14" x14ac:dyDescent="0.4">
      <c r="B3" s="2" t="s">
        <v>5</v>
      </c>
      <c r="C3" s="40">
        <v>3272</v>
      </c>
      <c r="D3" s="40">
        <v>128</v>
      </c>
      <c r="E3" s="40">
        <v>114.58</v>
      </c>
    </row>
    <row r="4" spans="2:14" x14ac:dyDescent="0.4">
      <c r="B4" s="3" t="s">
        <v>7</v>
      </c>
      <c r="C4" s="40">
        <v>2162</v>
      </c>
      <c r="D4" s="40">
        <v>124.6</v>
      </c>
      <c r="E4" s="40">
        <v>114.57</v>
      </c>
    </row>
    <row r="5" spans="2:14" x14ac:dyDescent="0.4">
      <c r="B5" s="3" t="s">
        <v>9</v>
      </c>
      <c r="C5" s="40">
        <v>1840</v>
      </c>
      <c r="D5" s="40">
        <v>106.6</v>
      </c>
      <c r="E5" s="40">
        <v>100.04</v>
      </c>
      <c r="N5" s="43" t="s">
        <v>73</v>
      </c>
    </row>
    <row r="6" spans="2:14" x14ac:dyDescent="0.4">
      <c r="B6" s="2" t="s">
        <v>11</v>
      </c>
      <c r="C6" s="40">
        <v>3419</v>
      </c>
      <c r="D6" s="40">
        <v>132.6</v>
      </c>
      <c r="E6" s="40">
        <v>109.69</v>
      </c>
    </row>
    <row r="7" spans="2:14" x14ac:dyDescent="0.4">
      <c r="B7" s="2" t="s">
        <v>13</v>
      </c>
      <c r="C7" s="40">
        <v>3422</v>
      </c>
      <c r="D7" s="40">
        <v>178.6</v>
      </c>
      <c r="E7" s="40">
        <v>119.83</v>
      </c>
    </row>
    <row r="8" spans="2:14" x14ac:dyDescent="0.4">
      <c r="B8" s="2" t="s">
        <v>15</v>
      </c>
      <c r="C8" s="40">
        <v>2421</v>
      </c>
      <c r="D8" s="40">
        <v>120.1</v>
      </c>
      <c r="E8" s="40">
        <v>111.34</v>
      </c>
    </row>
    <row r="9" spans="2:14" x14ac:dyDescent="0.4">
      <c r="B9" s="3" t="s">
        <v>17</v>
      </c>
      <c r="C9" s="40">
        <v>3016</v>
      </c>
      <c r="D9" s="40">
        <v>136.19999999999999</v>
      </c>
      <c r="E9" s="40">
        <v>115.15</v>
      </c>
    </row>
    <row r="10" spans="2:14" x14ac:dyDescent="0.4">
      <c r="B10" s="3" t="s">
        <v>18</v>
      </c>
      <c r="C10" s="40">
        <v>1975</v>
      </c>
      <c r="D10" s="40">
        <v>100.1</v>
      </c>
      <c r="E10" s="40">
        <v>105.42</v>
      </c>
    </row>
    <row r="11" spans="2:14" x14ac:dyDescent="0.4">
      <c r="B11" s="3" t="s">
        <v>20</v>
      </c>
      <c r="C11" s="40">
        <v>1956</v>
      </c>
      <c r="D11" s="40">
        <v>112.1</v>
      </c>
      <c r="E11" s="40">
        <v>109.16</v>
      </c>
    </row>
    <row r="12" spans="2:14" x14ac:dyDescent="0.4">
      <c r="B12" s="3" t="s">
        <v>22</v>
      </c>
      <c r="C12" s="40">
        <v>1991</v>
      </c>
      <c r="D12" s="40">
        <v>100.3</v>
      </c>
      <c r="E12" s="40">
        <v>99.12</v>
      </c>
    </row>
  </sheetData>
  <hyperlinks>
    <hyperlink ref="N5" r:id="rId1" tooltip="Click here to access datasource" xr:uid="{B7E5421E-671B-4FFA-8454-37C6B87D0CE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91016-99DB-4F70-ADCC-58F67CD22AA0}">
  <sheetPr codeName="Sheet4"/>
  <dimension ref="A3:K10"/>
  <sheetViews>
    <sheetView showGridLines="0" topLeftCell="A4" workbookViewId="0">
      <selection activeCell="L16" sqref="L16"/>
    </sheetView>
  </sheetViews>
  <sheetFormatPr defaultColWidth="8.83203125" defaultRowHeight="16" x14ac:dyDescent="0.4"/>
  <cols>
    <col min="1" max="1" width="12.1640625" bestFit="1" customWidth="1"/>
    <col min="2" max="2" width="22.6640625" bestFit="1" customWidth="1"/>
  </cols>
  <sheetData>
    <row r="3" spans="1:11" x14ac:dyDescent="0.4">
      <c r="A3" s="21" t="s">
        <v>59</v>
      </c>
      <c r="B3" t="s">
        <v>61</v>
      </c>
    </row>
    <row r="4" spans="1:11" x14ac:dyDescent="0.4">
      <c r="A4" s="22" t="s">
        <v>13</v>
      </c>
      <c r="B4" s="23">
        <v>71978</v>
      </c>
    </row>
    <row r="5" spans="1:11" x14ac:dyDescent="0.4">
      <c r="A5" s="22" t="s">
        <v>60</v>
      </c>
      <c r="B5" s="23">
        <v>71978</v>
      </c>
    </row>
    <row r="10" spans="1:11" x14ac:dyDescent="0.4">
      <c r="K10" s="43" t="s">
        <v>73</v>
      </c>
    </row>
  </sheetData>
  <hyperlinks>
    <hyperlink ref="K10" r:id="rId2" tooltip="Click here to access datasource" xr:uid="{FC6E9181-9652-4FF6-AE71-DD27D82BF6D3}"/>
  </hyperlink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D11D4-0468-B246-83DD-6D9DD93C14AF}">
  <sheetPr codeName="Sheet5"/>
  <dimension ref="A2:M18"/>
  <sheetViews>
    <sheetView showGridLines="0" topLeftCell="E1" workbookViewId="0">
      <selection activeCell="M17" sqref="M17"/>
    </sheetView>
  </sheetViews>
  <sheetFormatPr defaultColWidth="10.6640625" defaultRowHeight="16" x14ac:dyDescent="0.4"/>
  <cols>
    <col min="2" max="2" width="15.5" bestFit="1" customWidth="1"/>
    <col min="3" max="3" width="11.5" bestFit="1" customWidth="1"/>
    <col min="4" max="4" width="12.1640625" bestFit="1" customWidth="1"/>
    <col min="5" max="5" width="15" bestFit="1" customWidth="1"/>
    <col min="6" max="6" width="11" bestFit="1" customWidth="1"/>
    <col min="7" max="7" width="24.6640625" bestFit="1" customWidth="1"/>
    <col min="8" max="8" width="21" bestFit="1" customWidth="1"/>
    <col min="9" max="9" width="10.5" bestFit="1" customWidth="1"/>
    <col min="10" max="10" width="11.5" bestFit="1" customWidth="1"/>
    <col min="11" max="11" width="14.6640625" bestFit="1" customWidth="1"/>
  </cols>
  <sheetData>
    <row r="2" spans="1:13" x14ac:dyDescent="0.4">
      <c r="A2" s="1" t="s">
        <v>1</v>
      </c>
      <c r="B2" s="1" t="s">
        <v>0</v>
      </c>
      <c r="C2" s="1" t="s">
        <v>33</v>
      </c>
      <c r="D2" s="1" t="s">
        <v>34</v>
      </c>
      <c r="E2" s="1" t="s">
        <v>35</v>
      </c>
      <c r="F2" s="1" t="s">
        <v>36</v>
      </c>
      <c r="G2" s="1" t="s">
        <v>37</v>
      </c>
      <c r="H2" s="1" t="s">
        <v>38</v>
      </c>
      <c r="I2" s="1" t="s">
        <v>39</v>
      </c>
      <c r="J2" s="1" t="s">
        <v>40</v>
      </c>
      <c r="K2" s="1" t="s">
        <v>41</v>
      </c>
    </row>
    <row r="3" spans="1:13" x14ac:dyDescent="0.4">
      <c r="A3" s="2" t="s">
        <v>6</v>
      </c>
      <c r="B3" s="2" t="s">
        <v>5</v>
      </c>
      <c r="C3" s="10">
        <v>7587861</v>
      </c>
      <c r="D3" s="10">
        <v>83374</v>
      </c>
      <c r="E3" s="7">
        <v>7498921</v>
      </c>
      <c r="F3" s="11">
        <f t="shared" ref="F3:F12" si="0">D3/C3</f>
        <v>1.098781329810865E-2</v>
      </c>
      <c r="G3" s="2">
        <v>390050</v>
      </c>
      <c r="H3" s="2">
        <v>4286</v>
      </c>
      <c r="I3" s="2">
        <v>19453561</v>
      </c>
      <c r="J3" s="41">
        <f>C3/I3</f>
        <v>0.39004997594013763</v>
      </c>
      <c r="K3" s="42">
        <v>0.79400000000000004</v>
      </c>
    </row>
    <row r="4" spans="1:13" x14ac:dyDescent="0.4">
      <c r="A4" s="3" t="s">
        <v>8</v>
      </c>
      <c r="B4" s="3" t="s">
        <v>22</v>
      </c>
      <c r="C4" s="10">
        <v>3287483</v>
      </c>
      <c r="D4" s="10">
        <v>44069</v>
      </c>
      <c r="E4" s="7">
        <v>3233141</v>
      </c>
      <c r="F4" s="11">
        <f t="shared" si="0"/>
        <v>1.3405088330494789E-2</v>
      </c>
      <c r="G4" s="2">
        <v>309631</v>
      </c>
      <c r="H4" s="2">
        <v>4151</v>
      </c>
      <c r="I4" s="2">
        <v>10617423</v>
      </c>
      <c r="J4" s="41">
        <f t="shared" ref="J4:J12" si="1">C4/I4</f>
        <v>0.30963097165856535</v>
      </c>
      <c r="K4" s="42">
        <v>0.748</v>
      </c>
    </row>
    <row r="5" spans="1:13" x14ac:dyDescent="0.4">
      <c r="A5" s="3" t="s">
        <v>10</v>
      </c>
      <c r="B5" s="2" t="s">
        <v>11</v>
      </c>
      <c r="C5" s="10">
        <v>2367542</v>
      </c>
      <c r="D5" s="10">
        <v>25586</v>
      </c>
      <c r="E5" s="7">
        <v>2340391</v>
      </c>
      <c r="F5" s="11">
        <f t="shared" si="0"/>
        <v>1.0806988851728924E-2</v>
      </c>
      <c r="G5" s="2">
        <v>343495</v>
      </c>
      <c r="H5" s="2">
        <v>3712</v>
      </c>
      <c r="I5" s="2">
        <v>6892503</v>
      </c>
      <c r="J5" s="41">
        <f t="shared" si="1"/>
        <v>0.34349524403543968</v>
      </c>
      <c r="K5" s="42">
        <v>0.624</v>
      </c>
      <c r="M5" s="43" t="s">
        <v>73</v>
      </c>
    </row>
    <row r="6" spans="1:13" x14ac:dyDescent="0.4">
      <c r="A6" s="2" t="s">
        <v>12</v>
      </c>
      <c r="B6" s="3" t="s">
        <v>9</v>
      </c>
      <c r="C6" s="10">
        <v>9190299</v>
      </c>
      <c r="D6" s="10">
        <v>104793</v>
      </c>
      <c r="E6" s="7">
        <v>9071380</v>
      </c>
      <c r="F6" s="11">
        <f t="shared" si="0"/>
        <v>1.1402566989387396E-2</v>
      </c>
      <c r="G6" s="2">
        <v>316952</v>
      </c>
      <c r="H6" s="2">
        <v>3614</v>
      </c>
      <c r="I6" s="2">
        <v>28995881</v>
      </c>
      <c r="J6" s="41">
        <f t="shared" si="1"/>
        <v>0.31695188016532416</v>
      </c>
      <c r="K6" s="42">
        <v>0.82199999999999995</v>
      </c>
    </row>
    <row r="7" spans="1:13" x14ac:dyDescent="0.4">
      <c r="A7" s="2" t="s">
        <v>14</v>
      </c>
      <c r="B7" s="3" t="s">
        <v>18</v>
      </c>
      <c r="C7" s="10">
        <v>4136659</v>
      </c>
      <c r="D7" s="10">
        <v>42005</v>
      </c>
      <c r="E7" s="7">
        <v>4094654</v>
      </c>
      <c r="F7" s="11">
        <f t="shared" si="0"/>
        <v>1.0154329858951391E-2</v>
      </c>
      <c r="G7" s="2">
        <v>326446</v>
      </c>
      <c r="H7" s="2">
        <v>3315</v>
      </c>
      <c r="I7" s="2">
        <v>12671821</v>
      </c>
      <c r="J7" s="41">
        <f t="shared" si="1"/>
        <v>0.32644550455692201</v>
      </c>
      <c r="K7" s="42">
        <v>0.74199999999999999</v>
      </c>
    </row>
    <row r="8" spans="1:13" x14ac:dyDescent="0.4">
      <c r="A8" s="2" t="s">
        <v>16</v>
      </c>
      <c r="B8" s="2" t="s">
        <v>13</v>
      </c>
      <c r="C8" s="10">
        <v>12711918</v>
      </c>
      <c r="D8" s="10">
        <v>112443</v>
      </c>
      <c r="E8" s="7">
        <v>12579483</v>
      </c>
      <c r="F8" s="11">
        <f t="shared" si="0"/>
        <v>8.8454787074617701E-3</v>
      </c>
      <c r="G8" s="2">
        <v>321721</v>
      </c>
      <c r="H8" s="2">
        <v>2846</v>
      </c>
      <c r="I8" s="2">
        <v>39512223</v>
      </c>
      <c r="J8" s="41">
        <f t="shared" si="1"/>
        <v>0.32172115448933358</v>
      </c>
      <c r="K8" s="42">
        <v>0.82099999999999995</v>
      </c>
    </row>
    <row r="9" spans="1:13" x14ac:dyDescent="0.4">
      <c r="A9" s="3" t="s">
        <v>14</v>
      </c>
      <c r="B9" s="3" t="s">
        <v>17</v>
      </c>
      <c r="C9" s="10">
        <v>12711918</v>
      </c>
      <c r="D9" s="10">
        <v>112443</v>
      </c>
      <c r="E9" s="7">
        <v>12579483</v>
      </c>
      <c r="F9" s="11">
        <f t="shared" si="0"/>
        <v>8.8454787074617701E-3</v>
      </c>
      <c r="G9" s="2">
        <v>321721</v>
      </c>
      <c r="H9" s="2">
        <v>2846</v>
      </c>
      <c r="I9" s="2">
        <v>39512223</v>
      </c>
      <c r="J9" s="41">
        <f t="shared" si="1"/>
        <v>0.32172115448933358</v>
      </c>
      <c r="K9" s="42">
        <v>0.74199999999999999</v>
      </c>
    </row>
    <row r="10" spans="1:13" x14ac:dyDescent="0.4">
      <c r="A10" s="3" t="s">
        <v>19</v>
      </c>
      <c r="B10" s="3" t="s">
        <v>20</v>
      </c>
      <c r="C10" s="10">
        <v>1874746</v>
      </c>
      <c r="D10" s="10">
        <v>15552</v>
      </c>
      <c r="E10" s="7">
        <v>1853711</v>
      </c>
      <c r="F10" s="11">
        <f t="shared" si="0"/>
        <v>8.2955237669529638E-3</v>
      </c>
      <c r="G10" s="2">
        <v>325548</v>
      </c>
      <c r="H10" s="2">
        <v>2701</v>
      </c>
      <c r="I10" s="2">
        <v>5758736</v>
      </c>
      <c r="J10" s="41">
        <f t="shared" si="1"/>
        <v>0.32554817584970036</v>
      </c>
      <c r="K10" s="42">
        <v>0.70299999999999996</v>
      </c>
    </row>
    <row r="11" spans="1:13" x14ac:dyDescent="0.4">
      <c r="A11" s="3" t="s">
        <v>21</v>
      </c>
      <c r="B11" s="3" t="s">
        <v>7</v>
      </c>
      <c r="C11" s="10">
        <v>2070848</v>
      </c>
      <c r="D11" s="10">
        <v>17339</v>
      </c>
      <c r="E11" s="7">
        <v>2049813</v>
      </c>
      <c r="F11" s="11">
        <f t="shared" si="0"/>
        <v>8.3728984454677496E-3</v>
      </c>
      <c r="G11" s="2">
        <v>271947</v>
      </c>
      <c r="H11" s="2">
        <v>2277</v>
      </c>
      <c r="I11" s="2">
        <v>7614893</v>
      </c>
      <c r="J11" s="41">
        <f t="shared" si="1"/>
        <v>0.27194709104907977</v>
      </c>
      <c r="K11" s="42">
        <v>0.72399999999999998</v>
      </c>
    </row>
    <row r="12" spans="1:13" x14ac:dyDescent="0.4">
      <c r="A12" s="2" t="s">
        <v>23</v>
      </c>
      <c r="B12" s="2" t="s">
        <v>15</v>
      </c>
      <c r="C12" s="10">
        <v>178747</v>
      </c>
      <c r="D12" s="10">
        <v>1434</v>
      </c>
      <c r="E12" s="7">
        <v>176928</v>
      </c>
      <c r="F12" s="11">
        <f t="shared" si="0"/>
        <v>8.0225122659401283E-3</v>
      </c>
      <c r="G12" s="2">
        <v>253273</v>
      </c>
      <c r="H12" s="2">
        <v>2032</v>
      </c>
      <c r="I12" s="2">
        <v>705749</v>
      </c>
      <c r="J12" s="41">
        <f t="shared" si="1"/>
        <v>0.25327276411302035</v>
      </c>
      <c r="K12" s="42">
        <v>0.56399999999999995</v>
      </c>
    </row>
    <row r="13" spans="1:13" x14ac:dyDescent="0.4">
      <c r="J13" s="12">
        <f>AVERAGE(J3:J12)</f>
        <v>0.31807839163468565</v>
      </c>
      <c r="K13" s="12">
        <f>AVERAGE(K3:K12)</f>
        <v>0.72840000000000005</v>
      </c>
    </row>
    <row r="18" spans="2:2" x14ac:dyDescent="0.4">
      <c r="B18" t="str">
        <f>IF(Dashboard!K22&gt;31.8%,"Bad","Good")</f>
        <v>Bad</v>
      </c>
    </row>
  </sheetData>
  <autoFilter ref="B2:I12" xr:uid="{D60D11D4-0468-B246-83DD-6D9DD93C14AF}">
    <sortState xmlns:xlrd2="http://schemas.microsoft.com/office/spreadsheetml/2017/richdata2" ref="B3:I12">
      <sortCondition descending="1" ref="H2:H12"/>
    </sortState>
  </autoFilter>
  <hyperlinks>
    <hyperlink ref="M5" r:id="rId1" tooltip="Click here to access datasource" xr:uid="{FEED2740-EBA5-4F4B-9256-F9F883AB29D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A82FF-BC50-4BD3-AF81-282310D8F3C4}">
  <sheetPr codeName="Sheet6"/>
  <dimension ref="A1:F17"/>
  <sheetViews>
    <sheetView showGridLines="0" workbookViewId="0">
      <selection activeCell="G19" sqref="G19"/>
    </sheetView>
  </sheetViews>
  <sheetFormatPr defaultColWidth="8.83203125" defaultRowHeight="16" x14ac:dyDescent="0.4"/>
  <cols>
    <col min="2" max="2" width="9.83203125" customWidth="1"/>
    <col min="3" max="3" width="11.33203125" customWidth="1"/>
    <col min="4" max="4" width="11.83203125" customWidth="1"/>
    <col min="5" max="5" width="12.83203125" customWidth="1"/>
    <col min="6" max="6" width="10.83203125" customWidth="1"/>
  </cols>
  <sheetData>
    <row r="1" spans="1:6" ht="16.5" thickBot="1" x14ac:dyDescent="0.45"/>
    <row r="2" spans="1:6" ht="16.5" thickBot="1" x14ac:dyDescent="0.45">
      <c r="A2" s="14" t="s">
        <v>0</v>
      </c>
      <c r="B2" s="15" t="s">
        <v>43</v>
      </c>
      <c r="C2" s="15" t="s">
        <v>44</v>
      </c>
      <c r="D2" s="15" t="s">
        <v>45</v>
      </c>
      <c r="E2" s="15" t="s">
        <v>46</v>
      </c>
      <c r="F2" s="15" t="s">
        <v>47</v>
      </c>
    </row>
    <row r="3" spans="1:6" ht="16.5" thickBot="1" x14ac:dyDescent="0.45">
      <c r="A3" s="16" t="s">
        <v>9</v>
      </c>
      <c r="B3" s="17">
        <v>13.93</v>
      </c>
      <c r="C3" s="17">
        <v>180</v>
      </c>
      <c r="D3" s="17">
        <v>64</v>
      </c>
      <c r="E3" s="17">
        <v>286</v>
      </c>
      <c r="F3" s="17">
        <v>25</v>
      </c>
    </row>
    <row r="4" spans="1:6" ht="16.5" thickBot="1" x14ac:dyDescent="0.45">
      <c r="A4" s="18" t="s">
        <v>18</v>
      </c>
      <c r="B4" s="17">
        <v>34.26</v>
      </c>
      <c r="C4" s="17">
        <v>28</v>
      </c>
      <c r="D4" s="17">
        <v>6</v>
      </c>
      <c r="E4" s="17">
        <v>12</v>
      </c>
      <c r="F4" s="17">
        <v>21</v>
      </c>
    </row>
    <row r="5" spans="1:6" ht="16.5" thickBot="1" x14ac:dyDescent="0.45">
      <c r="A5" s="16" t="s">
        <v>20</v>
      </c>
      <c r="B5" s="17">
        <v>35.94</v>
      </c>
      <c r="C5" s="17">
        <v>20</v>
      </c>
      <c r="D5" s="17">
        <v>26</v>
      </c>
      <c r="E5" s="17">
        <v>17</v>
      </c>
      <c r="F5" s="17">
        <v>27</v>
      </c>
    </row>
    <row r="6" spans="1:6" ht="16.5" thickBot="1" x14ac:dyDescent="0.45">
      <c r="A6" s="18" t="s">
        <v>22</v>
      </c>
      <c r="B6" s="17">
        <v>35.94</v>
      </c>
      <c r="C6" s="17">
        <v>23</v>
      </c>
      <c r="D6" s="17">
        <v>4</v>
      </c>
      <c r="E6" s="17">
        <v>11</v>
      </c>
      <c r="F6" s="17">
        <v>9</v>
      </c>
    </row>
    <row r="7" spans="1:6" ht="16.5" thickBot="1" x14ac:dyDescent="0.45">
      <c r="A7" s="16" t="s">
        <v>7</v>
      </c>
      <c r="B7" s="17">
        <v>35.979999999999997</v>
      </c>
      <c r="C7" s="17">
        <v>15</v>
      </c>
      <c r="D7" s="17">
        <v>18</v>
      </c>
      <c r="E7" s="17">
        <v>108</v>
      </c>
      <c r="F7" s="17">
        <v>2</v>
      </c>
    </row>
    <row r="8" spans="1:6" ht="16.5" thickBot="1" x14ac:dyDescent="0.45">
      <c r="A8" s="18" t="s">
        <v>15</v>
      </c>
      <c r="B8" s="17">
        <v>37.270000000000003</v>
      </c>
      <c r="C8" s="17">
        <v>19</v>
      </c>
      <c r="D8" s="17">
        <v>25</v>
      </c>
      <c r="E8" s="17">
        <v>7</v>
      </c>
      <c r="F8" s="17">
        <v>6</v>
      </c>
    </row>
    <row r="9" spans="1:6" ht="16.5" thickBot="1" x14ac:dyDescent="0.45">
      <c r="A9" s="16" t="s">
        <v>17</v>
      </c>
      <c r="B9" s="17">
        <v>37.270000000000003</v>
      </c>
      <c r="C9" s="17">
        <v>19</v>
      </c>
      <c r="D9" s="17">
        <v>25</v>
      </c>
      <c r="E9" s="17">
        <v>7</v>
      </c>
      <c r="F9" s="17">
        <v>6</v>
      </c>
    </row>
    <row r="10" spans="1:6" ht="16.5" thickBot="1" x14ac:dyDescent="0.45">
      <c r="A10" s="16" t="s">
        <v>13</v>
      </c>
      <c r="B10" s="17">
        <v>39.159999999999997</v>
      </c>
      <c r="C10" s="17">
        <v>9</v>
      </c>
      <c r="D10" s="17">
        <v>8</v>
      </c>
      <c r="E10" s="17">
        <v>3</v>
      </c>
      <c r="F10" s="17">
        <v>180</v>
      </c>
    </row>
    <row r="11" spans="1:6" ht="16.5" thickBot="1" x14ac:dyDescent="0.45">
      <c r="A11" s="18" t="s">
        <v>6</v>
      </c>
      <c r="B11" s="17">
        <v>46.88</v>
      </c>
      <c r="C11" s="17">
        <v>6</v>
      </c>
      <c r="D11" s="17">
        <v>1</v>
      </c>
      <c r="E11" s="17">
        <v>9</v>
      </c>
      <c r="F11" s="17">
        <v>8</v>
      </c>
    </row>
    <row r="12" spans="1:6" ht="16.5" thickBot="1" x14ac:dyDescent="0.45">
      <c r="A12" s="19" t="s">
        <v>11</v>
      </c>
      <c r="B12" s="20">
        <v>50.84</v>
      </c>
      <c r="C12" s="20">
        <v>5</v>
      </c>
      <c r="D12" s="20">
        <v>5</v>
      </c>
      <c r="E12" s="20">
        <v>2</v>
      </c>
      <c r="F12" s="20">
        <v>19</v>
      </c>
    </row>
    <row r="17" spans="2:6" x14ac:dyDescent="0.4">
      <c r="B17" s="43" t="s">
        <v>73</v>
      </c>
      <c r="C17" s="43"/>
      <c r="D17" s="43"/>
      <c r="E17" s="43"/>
      <c r="F17" s="43"/>
    </row>
  </sheetData>
  <hyperlinks>
    <hyperlink ref="B17:F17" r:id="rId1" location="ask-the-experts" display="https://wallethub.com/edu/best-sports-cities/15179#ask-the-experts" xr:uid="{D9F4C1B7-79C1-4747-9861-A2152CC6F311}"/>
    <hyperlink ref="B17" r:id="rId2" location="ask-the-experts" tooltip="Click here to access datasource" xr:uid="{59A15206-E9A9-4D35-BDB8-6521D70289AA}"/>
  </hyperlinks>
  <pageMargins left="0.7" right="0.7" top="0.75" bottom="0.75" header="0.3" footer="0.3"/>
  <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Quality of Life</vt:lpstr>
      <vt:lpstr>CostofLiving</vt:lpstr>
      <vt:lpstr>Income after taxes</vt:lpstr>
      <vt:lpstr>Health</vt:lpstr>
      <vt:lpstr>Sports scores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Md Saiful Alam</dc:creator>
  <cp:keywords/>
  <dc:description/>
  <cp:lastModifiedBy>Samarth Naik</cp:lastModifiedBy>
  <dcterms:created xsi:type="dcterms:W3CDTF">2024-12-08T16:45:16Z</dcterms:created>
  <dcterms:modified xsi:type="dcterms:W3CDTF">2024-12-17T01:58:19Z</dcterms:modified>
  <cp:category/>
</cp:coreProperties>
</file>